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C4D7F70A-AE96-4004-B7EE-275A945814B7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I4" i="1" s="1"/>
  <c r="G5" i="1"/>
  <c r="G2" i="1"/>
  <c r="I2" i="1"/>
  <c r="I5" i="1"/>
  <c r="I3" i="1"/>
</calcChain>
</file>

<file path=xl/sharedStrings.xml><?xml version="1.0" encoding="utf-8"?>
<sst xmlns="http://schemas.openxmlformats.org/spreadsheetml/2006/main" count="25" uniqueCount="24">
  <si>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</si>
  <si>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</si>
  <si>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</si>
  <si>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</si>
  <si>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</si>
  <si>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</si>
  <si>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</si>
  <si>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</si>
  <si>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</si>
  <si>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SSA, 05 de JUNHO de 2026</t>
  </si>
  <si>
    <t>202502502893 - ENZO SOUZA SANTOS DA LUZ</t>
  </si>
  <si>
    <t>202408293682 - LEONARDO MENDES NEVES</t>
  </si>
  <si>
    <t>202408294786 - LUIS GUSTAVO SILVA DOS SANTOS</t>
  </si>
  <si>
    <t>202502220766 - PAULA LETÍCIA QUEIROZ DOS ANJOS</t>
  </si>
  <si>
    <t>EQ</t>
  </si>
  <si>
    <t>https://github.com/GusLuis/projeto-eng-software</t>
  </si>
  <si>
    <t>https://github.com/MajuGoes/CineBR_Engenharia_Software</t>
  </si>
  <si>
    <t>não fez</t>
  </si>
  <si>
    <t>FIGMA; https://projeto-eng-software.vercel.app/</t>
  </si>
  <si>
    <t>não</t>
  </si>
  <si>
    <t>Peso AV 8</t>
  </si>
  <si>
    <r>
      <rPr>
        <u/>
        <sz val="11"/>
        <color rgb="FFFF0000"/>
        <rFont val="Aptos Narrow"/>
        <family val="2"/>
        <scheme val="minor"/>
      </rPr>
      <t>não ABNT</t>
    </r>
    <r>
      <rPr>
        <u/>
        <sz val="11"/>
        <color theme="10"/>
        <rFont val="Aptos Narrow"/>
        <family val="2"/>
        <scheme val="minor"/>
      </rPr>
      <t xml:space="preserve">
https://cinebrbrasil.netlify.app/</t>
    </r>
  </si>
  <si>
    <r>
      <rPr>
        <sz val="11"/>
        <color rgb="FFFF0000"/>
        <rFont val="Aptos Narrow"/>
        <family val="2"/>
        <scheme val="minor"/>
      </rPr>
      <t>não apresentou o projeto de eng de software, somente o descritivo</t>
    </r>
    <r>
      <rPr>
        <sz val="11"/>
        <color theme="1"/>
        <rFont val="Aptos Narrow"/>
        <family val="2"/>
        <scheme val="minor"/>
      </rPr>
      <t xml:space="preserve">
FIGMA; https://projeto-eng-software.vercel.app/</t>
    </r>
  </si>
  <si>
    <t>Não fez nada do projeto de eng de soft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</si>
</sst>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7">
    <xf numFmtId="0" fontId="0" fillId="0" borderId="0" xfId="0"/>
    <xf numFmtId="0" fontId="3" fillId="0" borderId="1" xfId="1" applyNumberFormat="1" applyFont="1" applyFill="1" applyBorder="1" applyAlignment="1">
      <alignment horizontal="center" vertical="center" wrapText="1"/>
    </xf>
    <xf numFmtId="0" fontId="3" fillId="0" borderId="5" xfId="1" applyNumberFormat="1" applyFont="1" applyFill="1" applyBorder="1" applyAlignment="1">
      <alignment horizontal="center" vertical="center" wrapText="1"/>
    </xf>
    <xf numFmtId="0" fontId="5" fillId="0" borderId="0" xfId="0" applyFont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0" borderId="11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/>
    </xf>
    <xf numFmtId="0" fontId="3" fillId="4" borderId="11" xfId="1" applyNumberFormat="1" applyFont="1" applyFill="1" applyBorder="1" applyAlignment="1">
      <alignment horizontal="center" vertical="center" wrapText="1"/>
    </xf>
    <xf numFmtId="0" fontId="6" fillId="0" borderId="3" xfId="2" applyBorder="1"/>
    <xf numFmtId="0" fontId="6" fillId="0" borderId="6" xfId="2" applyBorder="1"/>
    <xf numFmtId="0" fontId="7" fillId="3" borderId="10" xfId="0" applyFont="1" applyFill="1" applyBorder="1" applyAlignment="1">
      <alignment horizontal="left" vertical="center" wrapText="1"/>
    </xf>
    <xf numFmtId="0" fontId="7" fillId="0" borderId="12" xfId="0" applyFont="1" applyBorder="1" applyAlignment="1">
      <alignment horizontal="center" vertical="center" wrapText="1"/>
    </xf>
    <xf numFmtId="0" fontId="3" fillId="4" borderId="11" xfId="0" applyFont="1" applyFill="1" applyBorder="1" applyAlignment="1">
      <alignment horizontal="center" vertical="center" wrapText="1"/>
    </xf>
    <xf numFmtId="43" fontId="4" fillId="3" borderId="11" xfId="1" applyFont="1" applyFill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 wrapText="1"/>
    </xf>
    <xf numFmtId="43" fontId="4" fillId="3" borderId="5" xfId="1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0" fontId="6" fillId="0" borderId="0" xfId="2" applyAlignment="1">
      <alignment wrapText="1"/>
    </xf>
    <xf numFmtId="0" fontId="0" fillId="0" borderId="0" xfId="0" applyAlignment="1">
      <alignment wrapText="1"/>
    </xf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ajuGoes/CineBR_Engenharia_Software" TargetMode="External"/><Relationship Id="rId2" Type="http://schemas.openxmlformats.org/officeDocument/2006/relationships/hyperlink" Target="https://github.com/GusLuis/projeto-eng-software" TargetMode="External"/><Relationship Id="rId1" Type="http://schemas.openxmlformats.org/officeDocument/2006/relationships/hyperlink" Target="https://github.com/GusLuis/projeto-eng-software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cinebrbrasil.netlify.app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K18"/>
  <sheetViews>
    <sheetView tabSelected="1" workbookViewId="0">
      <selection activeCell="H10" sqref="H10"/>
    </sheetView>
  </sheetViews>
  <sheetFormatPr defaultColWidth="84.5703125" defaultRowHeight="15" x14ac:dyDescent="0.25"/>
  <cols>
    <col min="1" max="1" width="64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13.140625" bestFit="1" customWidth="1"/>
    <col min="8" max="8" width="11" bestFit="1" customWidth="1"/>
    <col min="9" max="9" width="10.42578125" bestFit="1" customWidth="1"/>
    <col min="10" max="10" width="54.7109375" bestFit="1" customWidth="1"/>
    <col min="11" max="11" width="44" bestFit="1" customWidth="1"/>
  </cols>
  <sheetData>
    <row r="1" spans="1:11" ht="19.5" thickBot="1" x14ac:dyDescent="0.35">
      <c r="A1" s="4" t="s">
        <v>5</v>
      </c>
      <c r="B1" s="13" t="s">
        <v>14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7</v>
      </c>
      <c r="H1" s="5" t="s">
        <v>6</v>
      </c>
      <c r="I1" s="5" t="s">
        <v>4</v>
      </c>
      <c r="J1" s="6" t="s">
        <v>8</v>
      </c>
    </row>
    <row r="2" spans="1:11" ht="15.75" x14ac:dyDescent="0.25">
      <c r="A2" s="17" t="s">
        <v>10</v>
      </c>
      <c r="B2" s="19" t="s">
        <v>19</v>
      </c>
      <c r="C2" s="8">
        <v>7.2</v>
      </c>
      <c r="D2" s="8">
        <v>0</v>
      </c>
      <c r="E2" s="8">
        <v>0.9</v>
      </c>
      <c r="F2" s="8">
        <v>1</v>
      </c>
      <c r="G2" s="20">
        <f>C2/8*4</f>
        <v>3.6</v>
      </c>
      <c r="H2" s="14">
        <v>0</v>
      </c>
      <c r="I2" s="9">
        <f>G2+H2</f>
        <v>3.6</v>
      </c>
      <c r="J2" s="18" t="s">
        <v>17</v>
      </c>
      <c r="K2" s="24" t="s">
        <v>23</v>
      </c>
    </row>
    <row r="3" spans="1:11" ht="45" x14ac:dyDescent="0.25">
      <c r="A3" s="10" t="s">
        <v>11</v>
      </c>
      <c r="B3" s="7">
        <v>7</v>
      </c>
      <c r="C3" s="7">
        <v>6.4</v>
      </c>
      <c r="D3" s="7">
        <v>0</v>
      </c>
      <c r="E3" s="7">
        <v>0.8</v>
      </c>
      <c r="F3" s="7">
        <v>0.4</v>
      </c>
      <c r="G3" s="21">
        <f t="shared" ref="G3:G5" si="0">C3/8*4</f>
        <v>3.2</v>
      </c>
      <c r="H3" s="1">
        <v>2.8</v>
      </c>
      <c r="I3" s="1">
        <f t="shared" ref="I3:I5" si="1">G3+H3</f>
        <v>6</v>
      </c>
      <c r="J3" s="15" t="s">
        <v>15</v>
      </c>
      <c r="K3" s="26" t="s">
        <v>22</v>
      </c>
    </row>
    <row r="4" spans="1:11" ht="15.75" x14ac:dyDescent="0.25">
      <c r="A4" s="10" t="s">
        <v>12</v>
      </c>
      <c r="B4" s="7">
        <v>7</v>
      </c>
      <c r="C4" s="7">
        <v>6.4</v>
      </c>
      <c r="D4" s="7">
        <v>0</v>
      </c>
      <c r="E4" s="7">
        <v>0.4</v>
      </c>
      <c r="F4" s="7">
        <v>0.6</v>
      </c>
      <c r="G4" s="21">
        <f t="shared" si="0"/>
        <v>3.2</v>
      </c>
      <c r="H4" s="1">
        <v>2.8</v>
      </c>
      <c r="I4" s="1">
        <f t="shared" si="1"/>
        <v>6</v>
      </c>
      <c r="J4" s="15" t="s">
        <v>15</v>
      </c>
      <c r="K4" t="s">
        <v>18</v>
      </c>
    </row>
    <row r="5" spans="1:11" ht="30.75" thickBot="1" x14ac:dyDescent="0.3">
      <c r="A5" s="11" t="s">
        <v>13</v>
      </c>
      <c r="B5" s="12">
        <v>5</v>
      </c>
      <c r="C5" s="12">
        <v>7.2</v>
      </c>
      <c r="D5" s="12">
        <v>0</v>
      </c>
      <c r="E5" s="12">
        <v>0.7</v>
      </c>
      <c r="F5" s="12">
        <v>0.5</v>
      </c>
      <c r="G5" s="22">
        <f t="shared" si="0"/>
        <v>3.6</v>
      </c>
      <c r="H5" s="2">
        <v>5.5</v>
      </c>
      <c r="I5" s="2">
        <f t="shared" si="1"/>
        <v>9.1</v>
      </c>
      <c r="J5" s="16" t="s">
        <v>16</v>
      </c>
      <c r="K5" s="25" t="s">
        <v>21</v>
      </c>
    </row>
    <row r="6" spans="1:11" x14ac:dyDescent="0.25">
      <c r="A6" s="3"/>
      <c r="B6" s="3"/>
      <c r="C6" s="3"/>
      <c r="D6" s="3"/>
    </row>
    <row r="7" spans="1:11" x14ac:dyDescent="0.25">
      <c r="A7" s="3" t="s">
        <v>9</v>
      </c>
      <c r="B7" s="3"/>
      <c r="C7" s="23" t="s">
        <v>20</v>
      </c>
      <c r="D7" s="3"/>
    </row>
    <row r="8" spans="1:11" x14ac:dyDescent="0.25">
      <c r="A8" s="3"/>
      <c r="B8" s="3"/>
      <c r="C8" s="3"/>
      <c r="D8" s="3"/>
    </row>
    <row r="9" spans="1:11" x14ac:dyDescent="0.25">
      <c r="A9" s="3"/>
      <c r="B9" s="3"/>
      <c r="C9" s="3"/>
      <c r="D9" s="3"/>
    </row>
    <row r="10" spans="1:11" x14ac:dyDescent="0.25">
      <c r="A10" s="3"/>
      <c r="B10" s="3"/>
      <c r="C10" s="3"/>
      <c r="D10" s="3"/>
    </row>
    <row r="11" spans="1:11" x14ac:dyDescent="0.25">
      <c r="A11" s="3"/>
      <c r="B11" s="3"/>
      <c r="C11" s="3"/>
      <c r="D11" s="3"/>
    </row>
    <row r="12" spans="1:11" x14ac:dyDescent="0.25">
      <c r="A12" s="3"/>
      <c r="B12" s="3"/>
      <c r="C12" s="3"/>
      <c r="D12" s="3"/>
    </row>
    <row r="13" spans="1:11" x14ac:dyDescent="0.25">
      <c r="A13" s="3"/>
      <c r="B13" s="3"/>
      <c r="C13" s="3"/>
      <c r="D13" s="3"/>
    </row>
    <row r="14" spans="1:11" x14ac:dyDescent="0.25">
      <c r="A14" s="3"/>
      <c r="B14" s="3"/>
      <c r="C14" s="3"/>
      <c r="D14" s="3"/>
    </row>
    <row r="15" spans="1:11" x14ac:dyDescent="0.25">
      <c r="A15" s="3"/>
      <c r="B15" s="3"/>
      <c r="C15" s="3"/>
      <c r="D15" s="3"/>
    </row>
    <row r="16" spans="1:11" x14ac:dyDescent="0.25">
      <c r="A16" s="3"/>
      <c r="B16" s="3"/>
      <c r="C16" s="3"/>
      <c r="D16" s="3"/>
    </row>
    <row r="17" spans="1:4" x14ac:dyDescent="0.25">
      <c r="A17" s="3"/>
      <c r="B17" s="3"/>
      <c r="C17" s="3"/>
      <c r="D17" s="3"/>
    </row>
    <row r="18" spans="1:4" x14ac:dyDescent="0.25">
      <c r="A18" s="3"/>
      <c r="B18" s="3"/>
      <c r="C18" s="3"/>
      <c r="D18" s="3"/>
    </row>
  </sheetData>
  <hyperlinks>
    <hyperlink ref="J3" r:id="rId1" xr:uid="{14378773-7BD9-4DE3-9688-86AA7688AD4F}"/>
    <hyperlink ref="J4" r:id="rId2" xr:uid="{CF8E7ADA-2BA6-4571-AA09-0B913E6A2E6C}"/>
    <hyperlink ref="J5" r:id="rId3" xr:uid="{3DEB873A-8F27-41E4-9A86-6244BFA2F083}"/>
    <hyperlink ref="K5" r:id="rId4" display="https://cinebrbrasil.netlify.app/" xr:uid="{63EB79D3-AD0C-4CD4-9A1F-BEF5ACDFF254}"/>
  </hyperlinks>
  <pageMargins left="0.511811024" right="0.511811024" top="0.78740157499999996" bottom="0.78740157499999996" header="0.31496062000000002" footer="0.31496062000000002"/>
  <pageSetup paperSize="9"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2026-06-12T14:53:11Z</dcterms:modified>
</cp:coreProperties>
</file>