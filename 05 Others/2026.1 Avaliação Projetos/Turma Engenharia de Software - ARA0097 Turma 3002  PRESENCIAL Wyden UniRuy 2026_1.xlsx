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Avaliações Yduqs 2022_2 BDQ 2023_1 2024_2\2026.1 Avaliação Projetos\"/>
    </mc:Choice>
  </mc:AlternateContent>
  <xr:revisionPtr revIDLastSave="0" documentId="13_ncr:1_{D193E4D2-AE65-4B40-BCA7-A57DEA01C420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5" i="1"/>
  <c r="I5" i="1" s="1"/>
  <c r="G6" i="1"/>
  <c r="G7" i="1"/>
  <c r="I7" i="1" s="1"/>
  <c r="G8" i="1"/>
  <c r="G9" i="1"/>
  <c r="I9" i="1" s="1"/>
  <c r="G10" i="1"/>
  <c r="G11" i="1"/>
  <c r="I11" i="1" s="1"/>
  <c r="G12" i="1"/>
  <c r="G13" i="1"/>
  <c r="I13" i="1" s="1"/>
  <c r="G14" i="1"/>
  <c r="G15" i="1"/>
  <c r="I15" i="1" s="1"/>
  <c r="G16" i="1"/>
  <c r="G17" i="1"/>
  <c r="I17" i="1" s="1"/>
  <c r="G18" i="1"/>
  <c r="G19" i="1"/>
  <c r="I19" i="1" s="1"/>
  <c r="G20" i="1"/>
  <c r="G21" i="1"/>
  <c r="I21" i="1" s="1"/>
  <c r="G22" i="1"/>
  <c r="G23" i="1"/>
  <c r="I23" i="1" s="1"/>
  <c r="G24" i="1"/>
  <c r="G25" i="1"/>
  <c r="I25" i="1" s="1"/>
  <c r="G26" i="1"/>
  <c r="G27" i="1"/>
  <c r="I27" i="1" s="1"/>
  <c r="G3" i="1"/>
  <c r="I3" i="1" s="1"/>
  <c r="G2" i="1"/>
  <c r="I2" i="1"/>
  <c r="I4" i="1"/>
  <c r="I6" i="1"/>
  <c r="I8" i="1"/>
  <c r="I10" i="1"/>
  <c r="I12" i="1"/>
  <c r="I14" i="1"/>
  <c r="I16" i="1"/>
  <c r="I18" i="1"/>
  <c r="I20" i="1"/>
  <c r="I22" i="1"/>
  <c r="I24" i="1"/>
  <c r="I26" i="1"/>
</calcChain>
</file>

<file path=xl/sharedStrings.xml><?xml version="1.0" encoding="utf-8"?>
<sst xmlns="http://schemas.openxmlformats.org/spreadsheetml/2006/main" count="71" uniqueCount="55">
  <si>
    <t>Falta</t>
  </si>
  <si>
    <t>AV</t>
  </si>
  <si>
    <t>AVS</t>
  </si>
  <si>
    <t>SIM1</t>
  </si>
  <si>
    <t>SIM2</t>
  </si>
  <si>
    <t>MF</t>
  </si>
  <si>
    <t>ALUNO</t>
  </si>
  <si>
    <t>TRAB 6</t>
  </si>
  <si>
    <t>P AV 4</t>
  </si>
  <si>
    <t>App Cloud / GitHub</t>
  </si>
  <si>
    <t>202308603949 - ANDRE FELIPE XAVIER OLIVEIRA SANTOS</t>
  </si>
  <si>
    <t>202503630879 - ARTHUR GABRIEL MIRANDA REBOUCAS</t>
  </si>
  <si>
    <t>202402408224 - ARTHUR MIRANDA DE OLIVEIRA</t>
  </si>
  <si>
    <t>202304504131 - ARYANE SANTOS ANDRADE</t>
  </si>
  <si>
    <t>202508780658 - BRENO MULLER LISBOA SANTOS</t>
  </si>
  <si>
    <t>202505116773 - DAVI DOS SANTOS DE OLIVEIRA</t>
  </si>
  <si>
    <t>202503582734 - ERIC ASSIS DOS SANTOS SILVA</t>
  </si>
  <si>
    <t>202402408097 - GABRIELLA MIZRACH BENEVIDES</t>
  </si>
  <si>
    <t>202403476411 - JOÃO VÍCTOR MIRANDA CARVALHO</t>
  </si>
  <si>
    <t>202308762753 - JORDYSON SANTOS DA CRUZ</t>
  </si>
  <si>
    <t>202502357192 - JOSE RAIMUNDO DA HORA JUNIOR</t>
  </si>
  <si>
    <t>202308337671 - KAIQUE DIAS PEREIRA</t>
  </si>
  <si>
    <t>202404458415 - KAIQUE DOS SANTOS SIMÕES</t>
  </si>
  <si>
    <t>202208721656 - KAUA LESSA BARRETO</t>
  </si>
  <si>
    <t>202408161247 - LEONARDO ALVES MORENO</t>
  </si>
  <si>
    <t>202403068869 - LUIZ FERNANDO FERREIRA BARBOSA</t>
  </si>
  <si>
    <t>202409173737 - MARCOS BISPO COELHO DE JESUS</t>
  </si>
  <si>
    <t>202508343801 - MARIA EDUARDA DE OLIVEIRA SANTOS</t>
  </si>
  <si>
    <t>202402961063 - MARIA JULIA SOUSA DE AQUINO GOES</t>
  </si>
  <si>
    <t>202304084751 - PEDRO LANTYER SACRAMENTO</t>
  </si>
  <si>
    <t>202304053804 - RAFAEL CANELLA CAVALCANTE BARBOSA</t>
  </si>
  <si>
    <t>202503547106 - RENATA DA CONCEICAO MACHADO</t>
  </si>
  <si>
    <t>202503356751 - RODRIGO SANTOS ARAÚJO</t>
  </si>
  <si>
    <t>202208721907 - THIAGO BATISTA CORREIA PEREIRA</t>
  </si>
  <si>
    <t>202508343827 - VITOR SILVA SANTANA</t>
  </si>
  <si>
    <t>202208721699 - YAN AUGUSTO MACHADO NASCIMENTO</t>
  </si>
  <si>
    <t>SSA, 05 de JUNHO de 2026</t>
  </si>
  <si>
    <t>EQ</t>
  </si>
  <si>
    <t>https://github.com/aryaneandrade/projeto-monitorias-uniruy</t>
  </si>
  <si>
    <t>https://github.com/imthedavi/iFrango</t>
  </si>
  <si>
    <t>https://github.com/EricAssisdev/FACULDADE/tree/main/EngenhariaDeSoftware/TrabalhoEngSoft</t>
  </si>
  <si>
    <t>https://github.com/JoaoVictorCarvalho-DEV/trabalho_arquitetura_de_software</t>
  </si>
  <si>
    <t>https://github.com/Raymond-slayer/FACULDADE/tree/main/EngenhariaDeSoftware/TrabalhoEngSoft</t>
  </si>
  <si>
    <t>https://github.com/diaszin/trabalho-final-engenharia-de-software-uniruy</t>
  </si>
  <si>
    <t>https://github.com/PnpmGK/PROJETO-VESTURE</t>
  </si>
  <si>
    <t>https://github.com/1LeoAlves/D.O.M.E-Project</t>
  </si>
  <si>
    <t>https://github.com/MajuGoes/CineBR_Engenharia_Software</t>
  </si>
  <si>
    <t>https://github.com/machadorenata119-del/Projeto-de-Engenharia-de-software-</t>
  </si>
  <si>
    <t>https://github.com/Rodrigoo2006/Projeto-Monitorias</t>
  </si>
  <si>
    <t>https://github.com/YanAugusto2031/TaurusFit</t>
  </si>
  <si>
    <t>VSSTickets</t>
  </si>
  <si>
    <t xml:space="preserve">https://github.com/vitorsantanauniruy/Engenharia_software_apresenta-o
</t>
  </si>
  <si>
    <t>https://engenharia-software-apresenta-o.vercel.app/</t>
  </si>
  <si>
    <t>não GitHub; somente PPT</t>
  </si>
  <si>
    <t>Não fez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</si>
</sst>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2"/>
      <color rgb="FF000080"/>
      <name val="Times New Roman"/>
      <family val="1"/>
    </font>
    <font>
      <sz val="12"/>
      <color rgb="FF1E4B78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rgb="FFFF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34">
    <xf numFmtId="0" fontId="0" fillId="0" borderId="0" xfId="0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3" fillId="0" borderId="7" xfId="1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center" vertical="center" wrapText="1"/>
    </xf>
    <xf numFmtId="0" fontId="3" fillId="0" borderId="11" xfId="1" applyNumberFormat="1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2" xfId="1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0" fontId="3" fillId="3" borderId="7" xfId="1" applyNumberFormat="1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center" wrapText="1"/>
    </xf>
    <xf numFmtId="0" fontId="3" fillId="4" borderId="10" xfId="0" applyFont="1" applyFill="1" applyBorder="1" applyAlignment="1">
      <alignment horizontal="left" vertical="center" wrapText="1"/>
    </xf>
    <xf numFmtId="0" fontId="5" fillId="0" borderId="9" xfId="2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left" vertical="center" wrapText="1"/>
    </xf>
    <xf numFmtId="0" fontId="5" fillId="0" borderId="12" xfId="2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5" fillId="0" borderId="3" xfId="2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0" borderId="7" xfId="1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3" borderId="7" xfId="1" applyNumberFormat="1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left" vertical="center" wrapText="1"/>
    </xf>
  </cellXfs>
  <cellStyles count="3">
    <cellStyle name="Hiperlink" xfId="2" builtinId="8"/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JoaoVictorCarvalho-DEV/trabalho_arquitetura_de_software" TargetMode="External"/><Relationship Id="rId13" Type="http://schemas.openxmlformats.org/officeDocument/2006/relationships/hyperlink" Target="https://github.com/YanAugusto2031/TaurusFit" TargetMode="External"/><Relationship Id="rId18" Type="http://schemas.openxmlformats.org/officeDocument/2006/relationships/hyperlink" Target="https://github.com/vitorsantanauniruy/Engenharia_software_apresenta-o" TargetMode="External"/><Relationship Id="rId3" Type="http://schemas.openxmlformats.org/officeDocument/2006/relationships/hyperlink" Target="https://github.com/EricAssisdev/FACULDADE/tree/main/EngenhariaDeSoftware/TrabalhoEngSoft" TargetMode="External"/><Relationship Id="rId7" Type="http://schemas.openxmlformats.org/officeDocument/2006/relationships/hyperlink" Target="https://github.com/1LeoAlves/D.O.M.E-Project" TargetMode="External"/><Relationship Id="rId12" Type="http://schemas.openxmlformats.org/officeDocument/2006/relationships/hyperlink" Target="https://github.com/Rodrigoo2006/Projeto-Monitorias" TargetMode="External"/><Relationship Id="rId17" Type="http://schemas.openxmlformats.org/officeDocument/2006/relationships/hyperlink" Target="https://github.com/PnpmGK/PROJETO-VESTURE" TargetMode="External"/><Relationship Id="rId2" Type="http://schemas.openxmlformats.org/officeDocument/2006/relationships/hyperlink" Target="https://github.com/imthedavi/iFrango" TargetMode="External"/><Relationship Id="rId16" Type="http://schemas.openxmlformats.org/officeDocument/2006/relationships/hyperlink" Target="https://github.com/PnpmGK/PROJETO-VESTURE" TargetMode="External"/><Relationship Id="rId1" Type="http://schemas.openxmlformats.org/officeDocument/2006/relationships/hyperlink" Target="https://github.com/aryaneandrade/projeto-monitorias-uniruy" TargetMode="External"/><Relationship Id="rId6" Type="http://schemas.openxmlformats.org/officeDocument/2006/relationships/hyperlink" Target="https://github.com/PnpmGK/PROJETO-VESTURE" TargetMode="External"/><Relationship Id="rId11" Type="http://schemas.openxmlformats.org/officeDocument/2006/relationships/hyperlink" Target="https://github.com/machadorenata119-del/Projeto-de-Engenharia-de-software-" TargetMode="External"/><Relationship Id="rId5" Type="http://schemas.openxmlformats.org/officeDocument/2006/relationships/hyperlink" Target="https://github.com/Raymond-slayer/FACULDADE/tree/main/EngenhariaDeSoftware/TrabalhoEngSoft" TargetMode="External"/><Relationship Id="rId15" Type="http://schemas.openxmlformats.org/officeDocument/2006/relationships/hyperlink" Target="https://github.com/YanAugusto2031/TaurusFit" TargetMode="External"/><Relationship Id="rId10" Type="http://schemas.openxmlformats.org/officeDocument/2006/relationships/hyperlink" Target="https://github.com/JoaoVictorCarvalho-DEV/trabalho_arquitetura_de_software" TargetMode="External"/><Relationship Id="rId19" Type="http://schemas.openxmlformats.org/officeDocument/2006/relationships/hyperlink" Target="https://github.com/MajuGoes/CineBR_Engenharia_Software" TargetMode="External"/><Relationship Id="rId4" Type="http://schemas.openxmlformats.org/officeDocument/2006/relationships/hyperlink" Target="https://github.com/JoaoVictorCarvalho-DEV/trabalho_arquitetura_de_software" TargetMode="External"/><Relationship Id="rId9" Type="http://schemas.openxmlformats.org/officeDocument/2006/relationships/hyperlink" Target="https://github.com/diaszin/trabalho-final-engenharia-de-software-uniruy" TargetMode="External"/><Relationship Id="rId14" Type="http://schemas.openxmlformats.org/officeDocument/2006/relationships/hyperlink" Target="https://github.com/YanAugusto2031/TaurusF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L29"/>
  <sheetViews>
    <sheetView tabSelected="1" topLeftCell="A22" workbookViewId="0">
      <selection activeCell="A24" sqref="A24"/>
    </sheetView>
  </sheetViews>
  <sheetFormatPr defaultColWidth="84.5703125" defaultRowHeight="15" x14ac:dyDescent="0.25"/>
  <cols>
    <col min="1" max="1" width="64.42578125" bestFit="1" customWidth="1"/>
    <col min="2" max="2" width="5.28515625" bestFit="1" customWidth="1"/>
    <col min="3" max="3" width="5" bestFit="1" customWidth="1"/>
    <col min="4" max="4" width="6.5703125" bestFit="1" customWidth="1"/>
    <col min="5" max="6" width="7.85546875" bestFit="1" customWidth="1"/>
    <col min="7" max="7" width="9.5703125" bestFit="1" customWidth="1"/>
    <col min="8" max="8" width="11" bestFit="1" customWidth="1"/>
    <col min="9" max="9" width="10.42578125" bestFit="1" customWidth="1"/>
    <col min="10" max="10" width="24.85546875" bestFit="1" customWidth="1"/>
    <col min="11" max="11" width="10.28515625" bestFit="1" customWidth="1"/>
    <col min="12" max="12" width="48.85546875" bestFit="1" customWidth="1"/>
  </cols>
  <sheetData>
    <row r="1" spans="1:10" ht="19.5" thickBot="1" x14ac:dyDescent="0.35">
      <c r="A1" s="1" t="s">
        <v>6</v>
      </c>
      <c r="B1" s="13" t="s">
        <v>37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8</v>
      </c>
      <c r="H1" s="2" t="s">
        <v>7</v>
      </c>
      <c r="I1" s="2" t="s">
        <v>5</v>
      </c>
      <c r="J1" s="3" t="s">
        <v>9</v>
      </c>
    </row>
    <row r="2" spans="1:10" ht="30" x14ac:dyDescent="0.25">
      <c r="A2" s="10" t="s">
        <v>10</v>
      </c>
      <c r="B2" s="14">
        <v>4</v>
      </c>
      <c r="C2" s="11">
        <v>0</v>
      </c>
      <c r="D2" s="11">
        <v>0</v>
      </c>
      <c r="E2" s="12">
        <v>0.9</v>
      </c>
      <c r="F2" s="12">
        <v>0.4</v>
      </c>
      <c r="G2" s="11">
        <f>$C$2/7*4</f>
        <v>0</v>
      </c>
      <c r="H2" s="11">
        <v>6</v>
      </c>
      <c r="I2" s="11">
        <f>G2+H2</f>
        <v>6</v>
      </c>
      <c r="J2" s="26" t="s">
        <v>44</v>
      </c>
    </row>
    <row r="3" spans="1:10" ht="45" x14ac:dyDescent="0.25">
      <c r="A3" s="6" t="s">
        <v>11</v>
      </c>
      <c r="B3" s="15">
        <v>5</v>
      </c>
      <c r="C3" s="4">
        <v>0</v>
      </c>
      <c r="D3" s="4">
        <v>0</v>
      </c>
      <c r="E3" s="5">
        <v>0.4</v>
      </c>
      <c r="F3" s="5">
        <v>0.7</v>
      </c>
      <c r="G3" s="4">
        <f>$C$2/7*4</f>
        <v>0</v>
      </c>
      <c r="H3" s="4">
        <v>6</v>
      </c>
      <c r="I3" s="4">
        <f>G3+H3</f>
        <v>6</v>
      </c>
      <c r="J3" s="21" t="s">
        <v>46</v>
      </c>
    </row>
    <row r="4" spans="1:10" ht="15.75" x14ac:dyDescent="0.25">
      <c r="A4" s="33" t="s">
        <v>12</v>
      </c>
      <c r="B4" s="17"/>
      <c r="C4" s="4">
        <v>0</v>
      </c>
      <c r="D4" s="4">
        <v>0</v>
      </c>
      <c r="E4" s="5">
        <v>0.7</v>
      </c>
      <c r="F4" s="5" t="s">
        <v>0</v>
      </c>
      <c r="G4" s="4">
        <f t="shared" ref="G4:G27" si="0">$C$2/7*4</f>
        <v>0</v>
      </c>
      <c r="H4" s="4">
        <v>0</v>
      </c>
      <c r="I4" s="18">
        <f t="shared" ref="I4:I27" si="1">G4+H4</f>
        <v>0</v>
      </c>
      <c r="J4" s="32" t="s">
        <v>54</v>
      </c>
    </row>
    <row r="5" spans="1:10" ht="45" x14ac:dyDescent="0.25">
      <c r="A5" s="19" t="s">
        <v>13</v>
      </c>
      <c r="B5" s="15">
        <v>10</v>
      </c>
      <c r="C5" s="4">
        <v>0</v>
      </c>
      <c r="D5" s="4">
        <v>0</v>
      </c>
      <c r="E5" s="5">
        <v>0.5</v>
      </c>
      <c r="F5" s="5">
        <v>0.9</v>
      </c>
      <c r="G5" s="4">
        <f t="shared" si="0"/>
        <v>0</v>
      </c>
      <c r="H5" s="4">
        <v>0</v>
      </c>
      <c r="I5" s="4">
        <f t="shared" si="1"/>
        <v>0</v>
      </c>
      <c r="J5" s="21" t="s">
        <v>38</v>
      </c>
    </row>
    <row r="6" spans="1:10" ht="15.75" x14ac:dyDescent="0.25">
      <c r="A6" s="33" t="s">
        <v>14</v>
      </c>
      <c r="B6" s="27"/>
      <c r="C6" s="28">
        <v>0</v>
      </c>
      <c r="D6" s="28">
        <v>0</v>
      </c>
      <c r="E6" s="29" t="s">
        <v>0</v>
      </c>
      <c r="F6" s="29" t="s">
        <v>0</v>
      </c>
      <c r="G6" s="28">
        <f t="shared" si="0"/>
        <v>0</v>
      </c>
      <c r="H6" s="28">
        <v>0</v>
      </c>
      <c r="I6" s="30">
        <f t="shared" si="1"/>
        <v>0</v>
      </c>
      <c r="J6" s="32" t="s">
        <v>54</v>
      </c>
    </row>
    <row r="7" spans="1:10" ht="30" x14ac:dyDescent="0.25">
      <c r="A7" s="19" t="s">
        <v>15</v>
      </c>
      <c r="B7" s="15"/>
      <c r="C7" s="4">
        <v>0</v>
      </c>
      <c r="D7" s="4">
        <v>0</v>
      </c>
      <c r="E7" s="5">
        <v>1</v>
      </c>
      <c r="F7" s="5">
        <v>0.6</v>
      </c>
      <c r="G7" s="4">
        <f t="shared" si="0"/>
        <v>0</v>
      </c>
      <c r="H7" s="4">
        <v>0</v>
      </c>
      <c r="I7" s="4">
        <f t="shared" si="1"/>
        <v>0</v>
      </c>
      <c r="J7" s="21" t="s">
        <v>39</v>
      </c>
    </row>
    <row r="8" spans="1:10" ht="60" x14ac:dyDescent="0.25">
      <c r="A8" s="6" t="s">
        <v>16</v>
      </c>
      <c r="B8" s="15">
        <v>1</v>
      </c>
      <c r="C8" s="4">
        <v>0</v>
      </c>
      <c r="D8" s="4">
        <v>0</v>
      </c>
      <c r="E8" s="5">
        <v>0.6</v>
      </c>
      <c r="F8" s="5">
        <v>0.8</v>
      </c>
      <c r="G8" s="4">
        <f t="shared" si="0"/>
        <v>0</v>
      </c>
      <c r="H8" s="4">
        <v>6</v>
      </c>
      <c r="I8" s="4">
        <f t="shared" si="1"/>
        <v>6</v>
      </c>
      <c r="J8" s="21" t="s">
        <v>40</v>
      </c>
    </row>
    <row r="9" spans="1:10" ht="15.75" x14ac:dyDescent="0.25">
      <c r="A9" s="19" t="s">
        <v>17</v>
      </c>
      <c r="B9" s="15"/>
      <c r="C9" s="4">
        <v>0</v>
      </c>
      <c r="D9" s="4">
        <v>0</v>
      </c>
      <c r="E9" s="5">
        <v>0.6</v>
      </c>
      <c r="F9" s="5">
        <v>0.5</v>
      </c>
      <c r="G9" s="4">
        <f t="shared" si="0"/>
        <v>0</v>
      </c>
      <c r="H9" s="4">
        <v>0</v>
      </c>
      <c r="I9" s="4">
        <f t="shared" si="1"/>
        <v>0</v>
      </c>
      <c r="J9" s="7"/>
    </row>
    <row r="10" spans="1:10" ht="60" x14ac:dyDescent="0.25">
      <c r="A10" s="6" t="s">
        <v>18</v>
      </c>
      <c r="B10" s="15">
        <v>3</v>
      </c>
      <c r="C10" s="4">
        <v>0</v>
      </c>
      <c r="D10" s="4">
        <v>0</v>
      </c>
      <c r="E10" s="5">
        <v>0.7</v>
      </c>
      <c r="F10" s="5">
        <v>0.6</v>
      </c>
      <c r="G10" s="4">
        <f t="shared" si="0"/>
        <v>0</v>
      </c>
      <c r="H10" s="4">
        <v>6</v>
      </c>
      <c r="I10" s="4">
        <f t="shared" si="1"/>
        <v>6</v>
      </c>
      <c r="J10" s="21" t="s">
        <v>41</v>
      </c>
    </row>
    <row r="11" spans="1:10" ht="15.75" x14ac:dyDescent="0.25">
      <c r="A11" s="23" t="s">
        <v>19</v>
      </c>
      <c r="B11" s="15">
        <v>6</v>
      </c>
      <c r="C11" s="4">
        <v>0</v>
      </c>
      <c r="D11" s="4">
        <v>0</v>
      </c>
      <c r="E11" s="5">
        <v>0.9</v>
      </c>
      <c r="F11" s="5">
        <v>0.5</v>
      </c>
      <c r="G11" s="4">
        <f t="shared" si="0"/>
        <v>0</v>
      </c>
      <c r="H11" s="4">
        <v>4.5</v>
      </c>
      <c r="I11" s="4">
        <f t="shared" si="1"/>
        <v>4.5</v>
      </c>
      <c r="J11" s="22" t="s">
        <v>53</v>
      </c>
    </row>
    <row r="12" spans="1:10" ht="75" x14ac:dyDescent="0.25">
      <c r="A12" s="6" t="s">
        <v>20</v>
      </c>
      <c r="B12" s="15">
        <v>1</v>
      </c>
      <c r="C12" s="4">
        <v>0</v>
      </c>
      <c r="D12" s="4">
        <v>0</v>
      </c>
      <c r="E12" s="5">
        <v>0.6</v>
      </c>
      <c r="F12" s="5">
        <v>0.4</v>
      </c>
      <c r="G12" s="4">
        <f t="shared" si="0"/>
        <v>0</v>
      </c>
      <c r="H12" s="4">
        <v>6</v>
      </c>
      <c r="I12" s="4">
        <f t="shared" si="1"/>
        <v>6</v>
      </c>
      <c r="J12" s="21" t="s">
        <v>42</v>
      </c>
    </row>
    <row r="13" spans="1:10" ht="47.25" x14ac:dyDescent="0.25">
      <c r="A13" s="6" t="s">
        <v>21</v>
      </c>
      <c r="B13" s="15">
        <v>2</v>
      </c>
      <c r="C13" s="4">
        <v>0</v>
      </c>
      <c r="D13" s="4">
        <v>0</v>
      </c>
      <c r="E13" s="5">
        <v>0.7</v>
      </c>
      <c r="F13" s="5">
        <v>0.6</v>
      </c>
      <c r="G13" s="4">
        <f t="shared" si="0"/>
        <v>0</v>
      </c>
      <c r="H13" s="4">
        <v>6</v>
      </c>
      <c r="I13" s="4">
        <f t="shared" si="1"/>
        <v>6</v>
      </c>
      <c r="J13" s="7" t="s">
        <v>43</v>
      </c>
    </row>
    <row r="14" spans="1:10" ht="30" x14ac:dyDescent="0.25">
      <c r="A14" s="6" t="s">
        <v>22</v>
      </c>
      <c r="B14" s="15">
        <v>4</v>
      </c>
      <c r="C14" s="4">
        <v>0</v>
      </c>
      <c r="D14" s="4">
        <v>0</v>
      </c>
      <c r="E14" s="5">
        <v>0.4</v>
      </c>
      <c r="F14" s="5">
        <v>0.5</v>
      </c>
      <c r="G14" s="4">
        <f t="shared" si="0"/>
        <v>0</v>
      </c>
      <c r="H14" s="4">
        <v>6</v>
      </c>
      <c r="I14" s="4">
        <f t="shared" si="1"/>
        <v>6</v>
      </c>
      <c r="J14" s="21" t="s">
        <v>44</v>
      </c>
    </row>
    <row r="15" spans="1:10" ht="30" x14ac:dyDescent="0.25">
      <c r="A15" s="19" t="s">
        <v>23</v>
      </c>
      <c r="B15" s="15"/>
      <c r="C15" s="4">
        <v>0</v>
      </c>
      <c r="D15" s="4">
        <v>0</v>
      </c>
      <c r="E15" s="5">
        <v>0.9</v>
      </c>
      <c r="F15" s="5">
        <v>0.9</v>
      </c>
      <c r="G15" s="4">
        <f t="shared" si="0"/>
        <v>0</v>
      </c>
      <c r="H15" s="4">
        <v>0</v>
      </c>
      <c r="I15" s="4">
        <f t="shared" si="1"/>
        <v>0</v>
      </c>
      <c r="J15" s="21" t="s">
        <v>49</v>
      </c>
    </row>
    <row r="16" spans="1:10" ht="30" x14ac:dyDescent="0.25">
      <c r="A16" s="19" t="s">
        <v>24</v>
      </c>
      <c r="B16" s="15"/>
      <c r="C16" s="4">
        <v>0</v>
      </c>
      <c r="D16" s="4">
        <v>0</v>
      </c>
      <c r="E16" s="5">
        <v>0.8</v>
      </c>
      <c r="F16" s="5">
        <v>0.6</v>
      </c>
      <c r="G16" s="4">
        <f t="shared" si="0"/>
        <v>0</v>
      </c>
      <c r="H16" s="4">
        <v>0</v>
      </c>
      <c r="I16" s="4">
        <f t="shared" si="1"/>
        <v>0</v>
      </c>
      <c r="J16" s="21" t="s">
        <v>45</v>
      </c>
    </row>
    <row r="17" spans="1:12" ht="60" x14ac:dyDescent="0.25">
      <c r="A17" s="6" t="s">
        <v>25</v>
      </c>
      <c r="B17" s="15">
        <v>3</v>
      </c>
      <c r="C17" s="4">
        <v>0</v>
      </c>
      <c r="D17" s="4">
        <v>0</v>
      </c>
      <c r="E17" s="5">
        <v>0.5</v>
      </c>
      <c r="F17" s="5">
        <v>0.3</v>
      </c>
      <c r="G17" s="4">
        <f t="shared" si="0"/>
        <v>0</v>
      </c>
      <c r="H17" s="4">
        <v>6</v>
      </c>
      <c r="I17" s="4">
        <f t="shared" si="1"/>
        <v>6</v>
      </c>
      <c r="J17" s="21" t="s">
        <v>41</v>
      </c>
    </row>
    <row r="18" spans="1:12" ht="60" x14ac:dyDescent="0.25">
      <c r="A18" s="6" t="s">
        <v>26</v>
      </c>
      <c r="B18" s="15">
        <v>2</v>
      </c>
      <c r="C18" s="4">
        <v>0</v>
      </c>
      <c r="D18" s="4">
        <v>0</v>
      </c>
      <c r="E18" s="5">
        <v>0.6</v>
      </c>
      <c r="F18" s="5">
        <v>0.4</v>
      </c>
      <c r="G18" s="4">
        <f t="shared" si="0"/>
        <v>0</v>
      </c>
      <c r="H18" s="4">
        <v>6</v>
      </c>
      <c r="I18" s="4">
        <f t="shared" si="1"/>
        <v>6</v>
      </c>
      <c r="J18" s="21" t="s">
        <v>43</v>
      </c>
    </row>
    <row r="19" spans="1:12" ht="60" x14ac:dyDescent="0.25">
      <c r="A19" s="6" t="s">
        <v>27</v>
      </c>
      <c r="B19" s="15">
        <v>3</v>
      </c>
      <c r="C19" s="4">
        <v>0</v>
      </c>
      <c r="D19" s="4">
        <v>0</v>
      </c>
      <c r="E19" s="5">
        <v>0.4</v>
      </c>
      <c r="F19" s="5">
        <v>0.2</v>
      </c>
      <c r="G19" s="4">
        <f t="shared" si="0"/>
        <v>0</v>
      </c>
      <c r="H19" s="4">
        <v>6</v>
      </c>
      <c r="I19" s="4">
        <f t="shared" si="1"/>
        <v>6</v>
      </c>
      <c r="J19" s="21" t="s">
        <v>41</v>
      </c>
    </row>
    <row r="20" spans="1:12" ht="47.25" x14ac:dyDescent="0.25">
      <c r="A20" s="6" t="s">
        <v>28</v>
      </c>
      <c r="B20" s="15">
        <v>5</v>
      </c>
      <c r="C20" s="4">
        <v>0</v>
      </c>
      <c r="D20" s="4">
        <v>0</v>
      </c>
      <c r="E20" s="5">
        <v>0.6</v>
      </c>
      <c r="F20" s="5">
        <v>0.5</v>
      </c>
      <c r="G20" s="4">
        <f t="shared" si="0"/>
        <v>0</v>
      </c>
      <c r="H20" s="4">
        <v>6</v>
      </c>
      <c r="I20" s="4">
        <f t="shared" si="1"/>
        <v>6</v>
      </c>
      <c r="J20" s="7" t="s">
        <v>46</v>
      </c>
    </row>
    <row r="21" spans="1:12" ht="15.75" x14ac:dyDescent="0.25">
      <c r="A21" s="31" t="s">
        <v>29</v>
      </c>
      <c r="B21" s="17"/>
      <c r="C21" s="4">
        <v>0</v>
      </c>
      <c r="D21" s="4">
        <v>0</v>
      </c>
      <c r="E21" s="5" t="s">
        <v>0</v>
      </c>
      <c r="F21" s="5" t="s">
        <v>0</v>
      </c>
      <c r="G21" s="4">
        <f t="shared" si="0"/>
        <v>0</v>
      </c>
      <c r="H21" s="4">
        <v>0</v>
      </c>
      <c r="I21" s="18">
        <f t="shared" si="1"/>
        <v>0</v>
      </c>
      <c r="J21" s="25"/>
    </row>
    <row r="22" spans="1:12" ht="30" x14ac:dyDescent="0.25">
      <c r="A22" s="6" t="s">
        <v>30</v>
      </c>
      <c r="B22" s="15">
        <v>4</v>
      </c>
      <c r="C22" s="4">
        <v>0</v>
      </c>
      <c r="D22" s="4">
        <v>0</v>
      </c>
      <c r="E22" s="5">
        <v>0.9</v>
      </c>
      <c r="F22" s="5">
        <v>0.3</v>
      </c>
      <c r="G22" s="4">
        <f t="shared" si="0"/>
        <v>0</v>
      </c>
      <c r="H22" s="4">
        <v>6</v>
      </c>
      <c r="I22" s="4">
        <f t="shared" si="1"/>
        <v>6</v>
      </c>
      <c r="J22" s="21" t="s">
        <v>44</v>
      </c>
    </row>
    <row r="23" spans="1:12" ht="60" x14ac:dyDescent="0.25">
      <c r="A23" s="19" t="s">
        <v>31</v>
      </c>
      <c r="B23" s="15">
        <v>14</v>
      </c>
      <c r="C23" s="4">
        <v>0</v>
      </c>
      <c r="D23" s="4">
        <v>0</v>
      </c>
      <c r="E23" s="5" t="s">
        <v>0</v>
      </c>
      <c r="F23" s="5">
        <v>0.4</v>
      </c>
      <c r="G23" s="4">
        <f t="shared" si="0"/>
        <v>0</v>
      </c>
      <c r="H23" s="4">
        <v>0</v>
      </c>
      <c r="I23" s="4">
        <f t="shared" si="1"/>
        <v>0</v>
      </c>
      <c r="J23" s="21" t="s">
        <v>47</v>
      </c>
    </row>
    <row r="24" spans="1:12" ht="45" x14ac:dyDescent="0.25">
      <c r="A24" s="19" t="s">
        <v>32</v>
      </c>
      <c r="B24" s="15">
        <v>10</v>
      </c>
      <c r="C24" s="4">
        <v>0</v>
      </c>
      <c r="D24" s="4">
        <v>0</v>
      </c>
      <c r="E24" s="5">
        <v>0.6</v>
      </c>
      <c r="F24" s="5">
        <v>0.4</v>
      </c>
      <c r="G24" s="4">
        <f t="shared" si="0"/>
        <v>0</v>
      </c>
      <c r="H24" s="4">
        <v>0</v>
      </c>
      <c r="I24" s="4">
        <f t="shared" si="1"/>
        <v>0</v>
      </c>
      <c r="J24" s="21" t="s">
        <v>48</v>
      </c>
    </row>
    <row r="25" spans="1:12" ht="30" x14ac:dyDescent="0.25">
      <c r="A25" s="19" t="s">
        <v>33</v>
      </c>
      <c r="B25" s="15">
        <v>9</v>
      </c>
      <c r="C25" s="4">
        <v>0</v>
      </c>
      <c r="D25" s="4">
        <v>0</v>
      </c>
      <c r="E25" s="5" t="s">
        <v>0</v>
      </c>
      <c r="F25" s="5" t="s">
        <v>0</v>
      </c>
      <c r="G25" s="4">
        <f t="shared" si="0"/>
        <v>0</v>
      </c>
      <c r="H25" s="4">
        <v>0</v>
      </c>
      <c r="I25" s="4">
        <f t="shared" si="1"/>
        <v>0</v>
      </c>
      <c r="J25" s="21" t="s">
        <v>49</v>
      </c>
    </row>
    <row r="26" spans="1:12" ht="60" x14ac:dyDescent="0.25">
      <c r="A26" s="19" t="s">
        <v>34</v>
      </c>
      <c r="B26" s="15">
        <v>15</v>
      </c>
      <c r="C26" s="4">
        <v>0</v>
      </c>
      <c r="D26" s="4">
        <v>0</v>
      </c>
      <c r="E26" s="5">
        <v>0.8</v>
      </c>
      <c r="F26" s="5">
        <v>0.8</v>
      </c>
      <c r="G26" s="4">
        <f t="shared" si="0"/>
        <v>0</v>
      </c>
      <c r="H26" s="4">
        <v>0</v>
      </c>
      <c r="I26" s="4">
        <f t="shared" si="1"/>
        <v>0</v>
      </c>
      <c r="J26" s="21" t="s">
        <v>51</v>
      </c>
      <c r="K26" t="s">
        <v>50</v>
      </c>
      <c r="L26" t="s">
        <v>52</v>
      </c>
    </row>
    <row r="27" spans="1:12" ht="30.75" thickBot="1" x14ac:dyDescent="0.3">
      <c r="A27" s="20" t="s">
        <v>35</v>
      </c>
      <c r="B27" s="16">
        <v>9</v>
      </c>
      <c r="C27" s="8">
        <v>0</v>
      </c>
      <c r="D27" s="8">
        <v>0</v>
      </c>
      <c r="E27" s="9">
        <v>0.8</v>
      </c>
      <c r="F27" s="9">
        <v>0.9</v>
      </c>
      <c r="G27" s="8">
        <f t="shared" si="0"/>
        <v>0</v>
      </c>
      <c r="H27" s="8">
        <v>0</v>
      </c>
      <c r="I27" s="8">
        <f t="shared" si="1"/>
        <v>0</v>
      </c>
      <c r="J27" s="24" t="s">
        <v>49</v>
      </c>
    </row>
    <row r="29" spans="1:12" x14ac:dyDescent="0.25">
      <c r="A29" t="s">
        <v>36</v>
      </c>
    </row>
  </sheetData>
  <hyperlinks>
    <hyperlink ref="J5" r:id="rId1" xr:uid="{64307761-D7D9-4A06-8E9B-6432284E854E}"/>
    <hyperlink ref="J7" r:id="rId2" xr:uid="{9FF9BA28-8CB3-4B80-8505-0DD5A4B4E98B}"/>
    <hyperlink ref="J8" r:id="rId3" xr:uid="{5B4F64D5-2DB4-482B-95DD-80B3761005D1}"/>
    <hyperlink ref="J10" r:id="rId4" xr:uid="{BE74226B-EF15-4116-B4F1-19B8C5FA7A05}"/>
    <hyperlink ref="J12" r:id="rId5" xr:uid="{DE7AC3EA-4613-4AC4-B20A-90FA62B313AE}"/>
    <hyperlink ref="J14" r:id="rId6" xr:uid="{D7F6D36F-6A10-4B7A-AA02-E6C9E6B5C051}"/>
    <hyperlink ref="J16" r:id="rId7" xr:uid="{0737A2F4-2758-4383-9AC6-554918D8AAD2}"/>
    <hyperlink ref="J17" r:id="rId8" xr:uid="{7CE1E1A0-7FCD-425F-9410-F078CFFA05F5}"/>
    <hyperlink ref="J18" r:id="rId9" xr:uid="{BA41D141-0138-4C5C-A3D9-4BF95A26BC3D}"/>
    <hyperlink ref="J19" r:id="rId10" xr:uid="{53AAE598-84E9-4C79-9E24-CA2C883B6E66}"/>
    <hyperlink ref="J23" r:id="rId11" xr:uid="{79A6158E-E06C-4AC2-A309-D77F5EED1094}"/>
    <hyperlink ref="J24" r:id="rId12" xr:uid="{FD5ED851-BE40-4735-855D-CF806D52DAAA}"/>
    <hyperlink ref="J27" r:id="rId13" xr:uid="{0463F0AB-72AD-4F0A-B0CA-15B47959AB87}"/>
    <hyperlink ref="J25" r:id="rId14" xr:uid="{EFE5979B-08C9-4CE0-8148-D0A1E6738E3A}"/>
    <hyperlink ref="J15" r:id="rId15" xr:uid="{8EC7AABD-09D1-478A-B9AC-83E277E6B4AA}"/>
    <hyperlink ref="J22" r:id="rId16" xr:uid="{3056A8A1-666B-456E-B9F5-99383D083EC4}"/>
    <hyperlink ref="J2" r:id="rId17" xr:uid="{DCAB900F-B8B1-4E77-A5F0-93EC30C1F226}"/>
    <hyperlink ref="J26" r:id="rId18" xr:uid="{C1FB3950-AE45-460B-8E7D-5534614908AA}"/>
    <hyperlink ref="J3" r:id="rId19" xr:uid="{B8D6459A-3387-4805-8DCE-1592045B4C97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2026-06-08T20:17:32Z</dcterms:modified>
</cp:coreProperties>
</file>