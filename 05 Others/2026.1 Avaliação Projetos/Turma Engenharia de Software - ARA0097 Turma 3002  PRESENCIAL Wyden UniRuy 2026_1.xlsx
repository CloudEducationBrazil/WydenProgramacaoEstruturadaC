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YduqsArea1\Avaliações Yduqs 2022_2 BDQ 2023_1 2024_2\2026.1 Avaliação Projetos\"/>
    </mc:Choice>
  </mc:AlternateContent>
  <xr:revisionPtr revIDLastSave="0" documentId="13_ncr:1_{47A88E33-F822-4B43-87DF-65ED86182B0F}" xr6:coauthVersionLast="47" xr6:coauthVersionMax="47" xr10:uidLastSave="{00000000-0000-0000-0000-000000000000}"/>
  <bookViews>
    <workbookView xWindow="-120" yWindow="-120" windowWidth="20730" windowHeight="11040" xr2:uid="{DD6ED3E7-57DF-4A52-9E4C-63B0F7661B3D}"/>
  </bookViews>
  <sheets>
    <sheet name="Planilha1" sheetId="1" r:id="rId1"/>
  </sheets>
  <definedNames>
    <definedName name="_xlnm._FilterDatabase" localSheetId="0" hidden="1">Planilha1!$A$1:$J$27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I3" i="1" s="1"/>
  <c r="G4" i="1"/>
  <c r="I4" i="1" s="1"/>
  <c r="G5" i="1"/>
  <c r="I5" i="1" s="1"/>
  <c r="G6" i="1"/>
  <c r="I6" i="1" s="1"/>
  <c r="G7" i="1"/>
  <c r="I7" i="1" s="1"/>
  <c r="G8" i="1"/>
  <c r="I8" i="1" s="1"/>
  <c r="G9" i="1"/>
  <c r="I9" i="1" s="1"/>
  <c r="G10" i="1"/>
  <c r="I10" i="1" s="1"/>
  <c r="G11" i="1"/>
  <c r="G12" i="1"/>
  <c r="I12" i="1" s="1"/>
  <c r="G13" i="1"/>
  <c r="I13" i="1" s="1"/>
  <c r="G14" i="1"/>
  <c r="I14" i="1" s="1"/>
  <c r="G15" i="1"/>
  <c r="I15" i="1" s="1"/>
  <c r="G16" i="1"/>
  <c r="I16" i="1" s="1"/>
  <c r="G17" i="1"/>
  <c r="I17" i="1" s="1"/>
  <c r="G18" i="1"/>
  <c r="I18" i="1" s="1"/>
  <c r="G19" i="1"/>
  <c r="I19" i="1" s="1"/>
  <c r="G20" i="1"/>
  <c r="I20" i="1" s="1"/>
  <c r="G21" i="1"/>
  <c r="I21" i="1" s="1"/>
  <c r="G22" i="1"/>
  <c r="I22" i="1" s="1"/>
  <c r="G23" i="1"/>
  <c r="I23" i="1" s="1"/>
  <c r="G24" i="1"/>
  <c r="I24" i="1" s="1"/>
  <c r="G25" i="1"/>
  <c r="I25" i="1" s="1"/>
  <c r="G26" i="1"/>
  <c r="I26" i="1" s="1"/>
  <c r="G27" i="1"/>
  <c r="I27" i="1" s="1"/>
  <c r="G2" i="1"/>
  <c r="I2" i="1" s="1"/>
  <c r="I11" i="1"/>
</calcChain>
</file>

<file path=xl/sharedStrings.xml><?xml version="1.0" encoding="utf-8"?>
<sst xmlns="http://schemas.openxmlformats.org/spreadsheetml/2006/main" count="98" uniqueCount="75">
  <si>
    <t>Falta</t>
  </si>
  <si>
    <t>AV</t>
  </si>
  <si>
    <t>AVS</t>
  </si>
  <si>
    <t>SIM1</t>
  </si>
  <si>
    <t>SIM2</t>
  </si>
  <si>
    <t>MF</t>
  </si>
  <si>
    <t>ALUNO</t>
  </si>
  <si>
    <t>TRAB 6</t>
  </si>
  <si>
    <t>P AV 4</t>
  </si>
  <si>
    <t>App Cloud / GitHub</t>
  </si>
  <si>
    <t>202308603949 - ANDRE FELIPE XAVIER OLIVEIRA SANTOS</t>
  </si>
  <si>
    <t>202503630879 - ARTHUR GABRIEL MIRANDA REBOUCAS</t>
  </si>
  <si>
    <t>202402408224 - ARTHUR MIRANDA DE OLIVEIRA</t>
  </si>
  <si>
    <t>202304504131 - ARYANE SANTOS ANDRADE</t>
  </si>
  <si>
    <t>202508780658 - BRENO MULLER LISBOA SANTOS</t>
  </si>
  <si>
    <t>202505116773 - DAVI DOS SANTOS DE OLIVEIRA</t>
  </si>
  <si>
    <t>202503582734 - ERIC ASSIS DOS SANTOS SILVA</t>
  </si>
  <si>
    <t>202402408097 - GABRIELLA MIZRACH BENEVIDES</t>
  </si>
  <si>
    <t>202403476411 - JOÃO VÍCTOR MIRANDA CARVALHO</t>
  </si>
  <si>
    <t>202308762753 - JORDYSON SANTOS DA CRUZ</t>
  </si>
  <si>
    <t>202502357192 - JOSE RAIMUNDO DA HORA JUNIOR</t>
  </si>
  <si>
    <t>202308337671 - KAIQUE DIAS PEREIRA</t>
  </si>
  <si>
    <t>202404458415 - KAIQUE DOS SANTOS SIMÕES</t>
  </si>
  <si>
    <t>202208721656 - KAUA LESSA BARRETO</t>
  </si>
  <si>
    <t>202408161247 - LEONARDO ALVES MORENO</t>
  </si>
  <si>
    <t>202403068869 - LUIZ FERNANDO FERREIRA BARBOSA</t>
  </si>
  <si>
    <t>202409173737 - MARCOS BISPO COELHO DE JESUS</t>
  </si>
  <si>
    <t>202508343801 - MARIA EDUARDA DE OLIVEIRA SANTOS</t>
  </si>
  <si>
    <t>202402961063 - MARIA JULIA SOUSA DE AQUINO GOES</t>
  </si>
  <si>
    <t>202304084751 - PEDRO LANTYER SACRAMENTO</t>
  </si>
  <si>
    <t>202304053804 - RAFAEL CANELLA CAVALCANTE BARBOSA</t>
  </si>
  <si>
    <t>202503547106 - RENATA DA CONCEICAO MACHADO</t>
  </si>
  <si>
    <t>202503356751 - RODRIGO SANTOS ARAÚJO</t>
  </si>
  <si>
    <t>202208721907 - THIAGO BATISTA CORREIA PEREIRA</t>
  </si>
  <si>
    <t>202508343827 - VITOR SILVA SANTANA</t>
  </si>
  <si>
    <t>202208721699 - YAN AUGUSTO MACHADO NASCIMENTO</t>
  </si>
  <si>
    <t>SSA, 05 de JUNHO de 2026</t>
  </si>
  <si>
    <t>EQ</t>
  </si>
  <si>
    <t>https://github.com/aryaneandrade/projeto-monitorias-uniruy</t>
  </si>
  <si>
    <t>https://github.com/imthedavi/iFrango</t>
  </si>
  <si>
    <t>https://github.com/EricAssisdev/FACULDADE/tree/main/EngenhariaDeSoftware/TrabalhoEngSoft</t>
  </si>
  <si>
    <t>https://github.com/JoaoVictorCarvalho-DEV/trabalho_arquitetura_de_software</t>
  </si>
  <si>
    <t>https://github.com/Raymond-slayer/FACULDADE/tree/main/EngenhariaDeSoftware/TrabalhoEngSoft</t>
  </si>
  <si>
    <t>https://github.com/diaszin/trabalho-final-engenharia-de-software-uniruy</t>
  </si>
  <si>
    <t>https://github.com/PnpmGK/PROJETO-VESTURE</t>
  </si>
  <si>
    <t>https://github.com/1LeoAlves/D.O.M.E-Project</t>
  </si>
  <si>
    <t>https://github.com/MajuGoes/CineBR_Engenharia_Software</t>
  </si>
  <si>
    <t>https://github.com/machadorenata119-del/Projeto-de-Engenharia-de-software-</t>
  </si>
  <si>
    <t>https://github.com/Rodrigoo2006/Projeto-Monitorias</t>
  </si>
  <si>
    <t>https://github.com/YanAugusto2031/TaurusFit</t>
  </si>
  <si>
    <t xml:space="preserve">https://github.com/vitorsantanauniruy/Engenharia_software_apresenta-o
</t>
  </si>
  <si>
    <t>https://engenharia-software-apresenta-o.vercel.app/</t>
  </si>
  <si>
    <t>Não fez</t>
  </si>
  <si>
    <t>https://github.com/JordyUp/Engenharia-de-Software---Prototipo</t>
  </si>
  <si>
    <t>https://www.figma.com/proto/5Wzn4ncIYDvRg6mKjijgZ6/PROJETO-VESTURE?node-id=0-1\&amp;t=bWJcyoJqtGPEDb8e-1</t>
  </si>
  <si>
    <r>
      <t xml:space="preserve">domínio próprio - hospedado AWS
</t>
    </r>
    <r>
      <rPr>
        <sz val="11"/>
        <color rgb="FFFF0000"/>
        <rFont val="Aptos Narrow"/>
        <family val="2"/>
        <scheme val="minor"/>
      </rPr>
      <t xml:space="preserve">https://www.monitorias.andops.com.br </t>
    </r>
  </si>
  <si>
    <t>https://vozsegurawyden.netlify.app/</t>
  </si>
  <si>
    <t>https://spc-production-0b6c.up.railway.app</t>
  </si>
  <si>
    <t xml:space="preserve">https://github.com/diaszin/trabalho-final-engenharia-de-software-uniruy </t>
  </si>
  <si>
    <t>https://www.figma.com/proto/1rVcE201wu4gjDkBzN3NKZ/Aplicativo-de-Academia---Engenharia-de-Software?node-id=33-3618&amp;p=f&amp;t=B0rEDKSgJwM4jqM6-0&amp;scaling=scale-down&amp;content-scaling=fixed&amp;page-id=0%3A1&amp;starting-point-node-id=15%3A277&amp;show-proto-sidebar=1</t>
  </si>
  <si>
    <t>Supabase Cloud; FIGMA; https://split-audio-42257654.figma.site/</t>
  </si>
  <si>
    <t>Disponibilizar Link no README; VITRINE de seu projeto
Supabase Cloud; FIGMA; https://split-audio-42257654.figma.site/</t>
  </si>
  <si>
    <t>https://github.com/GabriellaMizrach/Sistema_de_Gestao_da_Biblioteca_de_Valfenda</t>
  </si>
  <si>
    <t>https://www.figma.com/proto/F3N3CO9JuZGTTKcS5Ktbpp/biblioteca-valfenda?node-id=2-2&amp;p=f&amp;t=UrboLGnQyYF7zXWW-1&amp;scaling=min-zoom&amp;content-scaling=fixed&amp;page-id=0%3A1&amp;starting-point-node-id=2%3A2</t>
  </si>
  <si>
    <t>https://sistemadegestaodabibliotecadevalfenda-agegwoffvhryb2lhqowtjb.streamlit.app/</t>
  </si>
  <si>
    <t>DFD? Políticias de Implantção e Teste não definidas</t>
  </si>
  <si>
    <r>
      <t>n</t>
    </r>
    <r>
      <rPr>
        <u/>
        <sz val="11"/>
        <color rgb="FFFF0000"/>
        <rFont val="Aptos Narrow"/>
        <family val="2"/>
        <scheme val="minor"/>
      </rPr>
      <t>ão ABNT; NÃO É UM PROJETO DE ENG DE SOFTWARE</t>
    </r>
    <r>
      <rPr>
        <u/>
        <sz val="11"/>
        <color theme="10"/>
        <rFont val="Aptos Narrow"/>
        <family val="2"/>
        <scheme val="minor"/>
      </rPr>
      <t xml:space="preserve">
https://velvety-youtiao-3f728e.netlify.app/index.html</t>
    </r>
  </si>
  <si>
    <t>Peso AV 8</t>
  </si>
  <si>
    <r>
      <rPr>
        <u/>
        <sz val="11"/>
        <color rgb="FFFF0000"/>
        <rFont val="Aptos Narrow"/>
        <family val="2"/>
        <scheme val="minor"/>
      </rPr>
      <t>não padrão ABTN</t>
    </r>
    <r>
      <rPr>
        <u/>
        <sz val="11"/>
        <color theme="10"/>
        <rFont val="Aptos Narrow"/>
        <family val="2"/>
        <scheme val="minor"/>
      </rPr>
      <t xml:space="preserve">
https://cinebrbrasil.netlify.app/</t>
    </r>
  </si>
  <si>
    <r>
      <rPr>
        <u/>
        <sz val="11"/>
        <color rgb="FFFF0000"/>
        <rFont val="Aptos Narrow"/>
        <family val="2"/>
        <scheme val="minor"/>
      </rPr>
      <t>DIAGRAMAÇÃO errada</t>
    </r>
    <r>
      <rPr>
        <u/>
        <sz val="11"/>
        <color theme="10"/>
        <rFont val="Aptos Narrow"/>
        <family val="2"/>
        <scheme val="minor"/>
      </rPr>
      <t xml:space="preserve">
https://www.figma.com/proto/5Wzn4ncIYDvRg6mKjijgZ6/PROJETO-VESTURE?node-id=0-1\&amp;t=bWJcyoJqtGPEDb8e-1</t>
    </r>
  </si>
  <si>
    <t>não diagramação; DDL; ABNT
https://www.figma.com/proto/JDxhoZM1Vh1U6tYggSeTdA/Login---Register-Form--Auto-Layout---Community-?node-id=402-30&amp;t=rI7w6wuA0iFay8Fk-0&amp;scaling=scale-down&amp;content-scaling=fixed&amp;page-id=0%3A1&amp;starting-point-node-id=402%3A30</t>
  </si>
  <si>
    <t>Política de Teste; Modelo comportamental
Disponibilizar no README; VITRINE de seu projeto VSSTickets
https://engenharia-software-apresenta-o.vercel.app/</t>
  </si>
  <si>
    <r>
      <rPr>
        <sz val="11"/>
        <color rgb="FFFF0000"/>
        <rFont val="Aptos Narrow"/>
        <family val="2"/>
        <scheme val="minor"/>
      </rPr>
      <t>não ao modelo comportamental</t>
    </r>
    <r>
      <rPr>
        <sz val="11"/>
        <color theme="1"/>
        <rFont val="Aptos Narrow"/>
        <family val="2"/>
        <scheme val="minor"/>
      </rPr>
      <t xml:space="preserve">
domínio próprio - hospedado AWS
</t>
    </r>
    <r>
      <rPr>
        <sz val="11"/>
        <color rgb="FFFF0000"/>
        <rFont val="Aptos Narrow"/>
        <family val="2"/>
        <scheme val="minor"/>
      </rPr>
      <t xml:space="preserve">https://www.monitorias.andops.com.br </t>
    </r>
  </si>
  <si>
    <r>
      <rPr>
        <u/>
        <sz val="11"/>
        <color rgb="FFFF0000"/>
        <rFont val="Aptos Narrow"/>
        <family val="2"/>
        <scheme val="minor"/>
      </rPr>
      <t>PROJETO fora de especificação</t>
    </r>
    <r>
      <rPr>
        <u/>
        <sz val="11"/>
        <color theme="10"/>
        <rFont val="Aptos Narrow"/>
        <family val="2"/>
        <scheme val="minor"/>
      </rPr>
      <t xml:space="preserve">
http://ifrango.frangro.com.br</t>
    </r>
  </si>
  <si>
    <r>
      <rPr>
        <u/>
        <sz val="11"/>
        <color rgb="FFFF0000"/>
        <rFont val="Aptos Narrow"/>
        <family val="2"/>
        <scheme val="minor"/>
      </rPr>
      <t>DER/MER/DDL - escorregada</t>
    </r>
    <r>
      <rPr>
        <u/>
        <sz val="11"/>
        <color theme="10"/>
        <rFont val="Aptos Narrow"/>
        <family val="2"/>
        <scheme val="minor"/>
      </rPr>
      <t xml:space="preserve">
https://ileonrd.itch.io/dome ; itch.io ; Unity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</si>
</sst>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Times New Roman"/>
      <family val="1"/>
    </font>
    <font>
      <sz val="12"/>
      <color rgb="FF000080"/>
      <name val="Times New Roman"/>
      <family val="1"/>
    </font>
    <font>
      <sz val="12"/>
      <color rgb="FF1E4B78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rgb="FFFF0000"/>
      <name val="Times New Roman"/>
      <family val="1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b/>
      <sz val="11"/>
      <color rgb="FFFF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38">
    <xf numFmtId="0" fontId="0" fillId="0" borderId="0" xfId="0"/>
    <xf numFmtId="0" fontId="3" fillId="0" borderId="1" xfId="1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5" xfId="1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3" borderId="1" xfId="1" applyNumberFormat="1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 wrapText="1"/>
    </xf>
    <xf numFmtId="0" fontId="3" fillId="4" borderId="4" xfId="0" applyFont="1" applyFill="1" applyBorder="1" applyAlignment="1">
      <alignment horizontal="left" vertical="center" wrapText="1"/>
    </xf>
    <xf numFmtId="0" fontId="5" fillId="0" borderId="3" xfId="2" applyBorder="1" applyAlignment="1">
      <alignment horizontal="center" vertical="center" wrapText="1"/>
    </xf>
    <xf numFmtId="0" fontId="5" fillId="0" borderId="6" xfId="2" applyBorder="1" applyAlignment="1">
      <alignment horizontal="center" vertical="center" wrapText="1"/>
    </xf>
    <xf numFmtId="0" fontId="6" fillId="0" borderId="1" xfId="1" applyNumberFormat="1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3" borderId="1" xfId="1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5" fillId="0" borderId="0" xfId="2"/>
    <xf numFmtId="0" fontId="0" fillId="0" borderId="0" xfId="0" applyAlignment="1">
      <alignment wrapText="1"/>
    </xf>
    <xf numFmtId="0" fontId="7" fillId="0" borderId="0" xfId="0" applyFont="1"/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2" xfId="1" applyNumberFormat="1" applyFont="1" applyFill="1" applyBorder="1" applyAlignment="1">
      <alignment horizontal="center" vertical="center" wrapText="1"/>
    </xf>
    <xf numFmtId="0" fontId="5" fillId="0" borderId="13" xfId="2" applyBorder="1" applyAlignment="1">
      <alignment horizontal="center" vertical="center" wrapText="1"/>
    </xf>
    <xf numFmtId="0" fontId="3" fillId="4" borderId="5" xfId="0" applyFont="1" applyFill="1" applyBorder="1" applyAlignment="1">
      <alignment horizontal="center" vertical="center" wrapText="1"/>
    </xf>
    <xf numFmtId="0" fontId="5" fillId="0" borderId="0" xfId="2" applyBorder="1"/>
    <xf numFmtId="0" fontId="5" fillId="0" borderId="0" xfId="2" applyAlignment="1">
      <alignment wrapText="1"/>
    </xf>
    <xf numFmtId="0" fontId="9" fillId="0" borderId="0" xfId="0" applyFont="1"/>
    <xf numFmtId="0" fontId="3" fillId="5" borderId="2" xfId="0" applyFont="1" applyFill="1" applyBorder="1" applyAlignment="1">
      <alignment horizontal="left" vertical="center" wrapText="1"/>
    </xf>
    <xf numFmtId="0" fontId="3" fillId="5" borderId="1" xfId="1" applyNumberFormat="1" applyFont="1" applyFill="1" applyBorder="1" applyAlignment="1">
      <alignment horizontal="center" vertical="center" wrapText="1"/>
    </xf>
  </cellXfs>
  <cellStyles count="3">
    <cellStyle name="Hiperlink" xfId="2" builtinId="8"/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YanAugusto2031/TaurusFit" TargetMode="External"/><Relationship Id="rId18" Type="http://schemas.openxmlformats.org/officeDocument/2006/relationships/hyperlink" Target="https://github.com/vitorsantanauniruy/Engenharia_software_apresenta-o" TargetMode="External"/><Relationship Id="rId26" Type="http://schemas.openxmlformats.org/officeDocument/2006/relationships/hyperlink" Target="https://www.figma.com/proto/JDxhoZM1Vh1U6tYggSeTdA/Login---Register-Form--Auto-Layout---Community-?node-id=402-30&amp;t=rI7w6wuA0iFay8Fk-0&amp;scaling=scale-down&amp;content-scaling=fixed&amp;page-id=0%3A1&amp;starting-point-node-id=402%3A30" TargetMode="External"/><Relationship Id="rId39" Type="http://schemas.openxmlformats.org/officeDocument/2006/relationships/hyperlink" Target="https://www.figma.com/proto/F3N3CO9JuZGTTKcS5Ktbpp/biblioteca-valfenda?node-id=2-2&amp;p=f&amp;t=UrboLGnQyYF7zXWW-1&amp;scaling=min-zoom&amp;content-scaling=fixed&amp;page-id=0%3A1&amp;starting-point-node-id=2%3A2" TargetMode="External"/><Relationship Id="rId21" Type="http://schemas.openxmlformats.org/officeDocument/2006/relationships/hyperlink" Target="http://ifrango.frangro.com.br/" TargetMode="External"/><Relationship Id="rId34" Type="http://schemas.openxmlformats.org/officeDocument/2006/relationships/hyperlink" Target="https://spc-production-0b6c.up.railway.app/" TargetMode="External"/><Relationship Id="rId7" Type="http://schemas.openxmlformats.org/officeDocument/2006/relationships/hyperlink" Target="https://github.com/1LeoAlves/D.O.M.E-Project" TargetMode="External"/><Relationship Id="rId2" Type="http://schemas.openxmlformats.org/officeDocument/2006/relationships/hyperlink" Target="https://github.com/imthedavi/iFrango" TargetMode="External"/><Relationship Id="rId16" Type="http://schemas.openxmlformats.org/officeDocument/2006/relationships/hyperlink" Target="https://github.com/PnpmGK/PROJETO-VESTURE" TargetMode="External"/><Relationship Id="rId20" Type="http://schemas.openxmlformats.org/officeDocument/2006/relationships/hyperlink" Target="https://github.com/JordyUp/Engenharia-de-Software---Prototipo" TargetMode="External"/><Relationship Id="rId29" Type="http://schemas.openxmlformats.org/officeDocument/2006/relationships/hyperlink" Target="https://github.com/diaszin/trabalho-final-engenharia-de-software-uniruy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github.com/aryaneandrade/projeto-monitorias-uniruy" TargetMode="External"/><Relationship Id="rId6" Type="http://schemas.openxmlformats.org/officeDocument/2006/relationships/hyperlink" Target="https://github.com/PnpmGK/PROJETO-VESTURE" TargetMode="External"/><Relationship Id="rId11" Type="http://schemas.openxmlformats.org/officeDocument/2006/relationships/hyperlink" Target="https://github.com/machadorenata119-del/Projeto-de-Engenharia-de-software-" TargetMode="External"/><Relationship Id="rId24" Type="http://schemas.openxmlformats.org/officeDocument/2006/relationships/hyperlink" Target="https://vozsegurawyden.netlify.app/" TargetMode="External"/><Relationship Id="rId32" Type="http://schemas.openxmlformats.org/officeDocument/2006/relationships/hyperlink" Target="https://ileonrd.itch.io/dome%20;%20itch.io%20;%20Unity" TargetMode="External"/><Relationship Id="rId37" Type="http://schemas.openxmlformats.org/officeDocument/2006/relationships/hyperlink" Target="https://engenharia-software-apresenta-o.vercel.app/" TargetMode="External"/><Relationship Id="rId40" Type="http://schemas.openxmlformats.org/officeDocument/2006/relationships/hyperlink" Target="https://cinebrbrasil.netlify.app/" TargetMode="External"/><Relationship Id="rId5" Type="http://schemas.openxmlformats.org/officeDocument/2006/relationships/hyperlink" Target="https://github.com/Raymond-slayer/FACULDADE/tree/main/EngenhariaDeSoftware/TrabalhoEngSoft" TargetMode="External"/><Relationship Id="rId15" Type="http://schemas.openxmlformats.org/officeDocument/2006/relationships/hyperlink" Target="https://github.com/YanAugusto2031/TaurusFit" TargetMode="External"/><Relationship Id="rId23" Type="http://schemas.openxmlformats.org/officeDocument/2006/relationships/hyperlink" Target="https://www.figma.com/proto/5Wzn4ncIYDvRg6mKjijgZ6/PROJETO-VESTURE?node-id=0-1\&amp;t=bWJcyoJqtGPEDb8e-1" TargetMode="External"/><Relationship Id="rId28" Type="http://schemas.openxmlformats.org/officeDocument/2006/relationships/hyperlink" Target="https://www.figma.com/proto/5Wzn4ncIYDvRg6mKjijgZ6/PROJETO-VESTURE?node-id=0-1\&amp;t=bWJcyoJqtGPEDb8e-1" TargetMode="External"/><Relationship Id="rId36" Type="http://schemas.openxmlformats.org/officeDocument/2006/relationships/hyperlink" Target="https://velvety-youtiao-3f728e.netlify.app/index.html" TargetMode="External"/><Relationship Id="rId10" Type="http://schemas.openxmlformats.org/officeDocument/2006/relationships/hyperlink" Target="https://github.com/JoaoVictorCarvalho-DEV/trabalho_arquitetura_de_software" TargetMode="External"/><Relationship Id="rId19" Type="http://schemas.openxmlformats.org/officeDocument/2006/relationships/hyperlink" Target="https://github.com/MajuGoes/CineBR_Engenharia_Software" TargetMode="External"/><Relationship Id="rId31" Type="http://schemas.openxmlformats.org/officeDocument/2006/relationships/hyperlink" Target="https://www.figma.com/proto/1rVcE201wu4gjDkBzN3NKZ/Aplicativo-de-Academia---Engenharia-de-Software?node-id=33-3618&amp;p=f&amp;t=B0rEDKSgJwM4jqM6-0&amp;scaling=scale-down&amp;content-scaling=fixed&amp;page-id=0%3A1&amp;starting-point-node-id=15%3A277&amp;show-proto-sidebar=1" TargetMode="External"/><Relationship Id="rId4" Type="http://schemas.openxmlformats.org/officeDocument/2006/relationships/hyperlink" Target="https://github.com/JoaoVictorCarvalho-DEV/trabalho_arquitetura_de_software" TargetMode="External"/><Relationship Id="rId9" Type="http://schemas.openxmlformats.org/officeDocument/2006/relationships/hyperlink" Target="https://github.com/diaszin/trabalho-final-engenharia-de-software-uniruy" TargetMode="External"/><Relationship Id="rId14" Type="http://schemas.openxmlformats.org/officeDocument/2006/relationships/hyperlink" Target="https://github.com/YanAugusto2031/TaurusFit" TargetMode="External"/><Relationship Id="rId22" Type="http://schemas.openxmlformats.org/officeDocument/2006/relationships/hyperlink" Target="https://cinebrbrasil.netlify.app/" TargetMode="External"/><Relationship Id="rId27" Type="http://schemas.openxmlformats.org/officeDocument/2006/relationships/hyperlink" Target="https://vozsegurawyden.netlify.app/" TargetMode="External"/><Relationship Id="rId30" Type="http://schemas.openxmlformats.org/officeDocument/2006/relationships/hyperlink" Target="https://www.figma.com/proto/1rVcE201wu4gjDkBzN3NKZ/Aplicativo-de-Academia---Engenharia-de-Software?node-id=33-3618&amp;p=f&amp;t=B0rEDKSgJwM4jqM6-0&amp;scaling=scale-down&amp;content-scaling=fixed&amp;page-id=0%3A1&amp;starting-point-node-id=15%3A277&amp;show-proto-sidebar=1" TargetMode="External"/><Relationship Id="rId35" Type="http://schemas.openxmlformats.org/officeDocument/2006/relationships/hyperlink" Target="https://www.figma.com/proto/5Wzn4ncIYDvRg6mKjijgZ6/PROJETO-VESTURE?node-id=0-1\&amp;t=bWJcyoJqtGPEDb8e-1" TargetMode="External"/><Relationship Id="rId8" Type="http://schemas.openxmlformats.org/officeDocument/2006/relationships/hyperlink" Target="https://github.com/JoaoVictorCarvalho-DEV/trabalho_arquitetura_de_software" TargetMode="External"/><Relationship Id="rId3" Type="http://schemas.openxmlformats.org/officeDocument/2006/relationships/hyperlink" Target="https://github.com/EricAssisdev/FACULDADE/tree/main/EngenhariaDeSoftware/TrabalhoEngSoft" TargetMode="External"/><Relationship Id="rId12" Type="http://schemas.openxmlformats.org/officeDocument/2006/relationships/hyperlink" Target="https://github.com/Rodrigoo2006/Projeto-Monitorias" TargetMode="External"/><Relationship Id="rId17" Type="http://schemas.openxmlformats.org/officeDocument/2006/relationships/hyperlink" Target="https://github.com/PnpmGK/PROJETO-VESTURE" TargetMode="External"/><Relationship Id="rId25" Type="http://schemas.openxmlformats.org/officeDocument/2006/relationships/hyperlink" Target="https://spc-production-0b6c.up.railway.app/" TargetMode="External"/><Relationship Id="rId33" Type="http://schemas.openxmlformats.org/officeDocument/2006/relationships/hyperlink" Target="https://spc-production-0b6c.up.railway.app/" TargetMode="External"/><Relationship Id="rId38" Type="http://schemas.openxmlformats.org/officeDocument/2006/relationships/hyperlink" Target="https://github.com/GabriellaMizrach/Sistema_de_Gestao_da_Biblioteca_de_Valfen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12B8F-44EC-4B38-84EB-21D2846DA7CB}">
  <dimension ref="A1:M29"/>
  <sheetViews>
    <sheetView tabSelected="1" zoomScale="85" zoomScaleNormal="85" workbookViewId="0">
      <selection activeCell="K6" sqref="K6"/>
    </sheetView>
  </sheetViews>
  <sheetFormatPr defaultColWidth="84.5703125" defaultRowHeight="15" x14ac:dyDescent="0.25"/>
  <cols>
    <col min="1" max="1" width="64.42578125" bestFit="1" customWidth="1"/>
    <col min="2" max="2" width="5.28515625" bestFit="1" customWidth="1"/>
    <col min="3" max="3" width="5" bestFit="1" customWidth="1"/>
    <col min="4" max="4" width="6.5703125" bestFit="1" customWidth="1"/>
    <col min="5" max="6" width="7.85546875" bestFit="1" customWidth="1"/>
    <col min="7" max="7" width="9.5703125" bestFit="1" customWidth="1"/>
    <col min="8" max="8" width="11" bestFit="1" customWidth="1"/>
    <col min="9" max="9" width="10.42578125" bestFit="1" customWidth="1"/>
    <col min="10" max="10" width="24.85546875" bestFit="1" customWidth="1"/>
    <col min="11" max="11" width="52.7109375" customWidth="1"/>
    <col min="12" max="12" width="30.7109375" customWidth="1"/>
  </cols>
  <sheetData>
    <row r="1" spans="1:13" ht="19.5" thickBot="1" x14ac:dyDescent="0.35">
      <c r="A1" s="21" t="s">
        <v>6</v>
      </c>
      <c r="B1" s="22" t="s">
        <v>37</v>
      </c>
      <c r="C1" s="23" t="s">
        <v>1</v>
      </c>
      <c r="D1" s="23" t="s">
        <v>2</v>
      </c>
      <c r="E1" s="23" t="s">
        <v>3</v>
      </c>
      <c r="F1" s="23" t="s">
        <v>4</v>
      </c>
      <c r="G1" s="23" t="s">
        <v>8</v>
      </c>
      <c r="H1" s="23" t="s">
        <v>7</v>
      </c>
      <c r="I1" s="23" t="s">
        <v>5</v>
      </c>
      <c r="J1" s="24" t="s">
        <v>9</v>
      </c>
      <c r="L1" s="35" t="s">
        <v>67</v>
      </c>
    </row>
    <row r="2" spans="1:13" ht="45" x14ac:dyDescent="0.25">
      <c r="A2" s="28" t="s">
        <v>10</v>
      </c>
      <c r="B2" s="29">
        <v>4</v>
      </c>
      <c r="C2" s="30">
        <v>7.2</v>
      </c>
      <c r="D2" s="30">
        <v>0</v>
      </c>
      <c r="E2" s="29">
        <v>0.9</v>
      </c>
      <c r="F2" s="29">
        <v>0.4</v>
      </c>
      <c r="G2" s="30">
        <f>C2/8*4</f>
        <v>3.6</v>
      </c>
      <c r="H2" s="30">
        <v>4.8</v>
      </c>
      <c r="I2" s="30">
        <f>G2+H2</f>
        <v>8.4</v>
      </c>
      <c r="J2" s="31" t="s">
        <v>44</v>
      </c>
      <c r="K2" s="34" t="s">
        <v>69</v>
      </c>
    </row>
    <row r="3" spans="1:13" ht="45" x14ac:dyDescent="0.25">
      <c r="A3" s="3" t="s">
        <v>11</v>
      </c>
      <c r="B3" s="2">
        <v>5</v>
      </c>
      <c r="C3" s="1">
        <v>4.8</v>
      </c>
      <c r="D3" s="1">
        <v>0</v>
      </c>
      <c r="E3" s="2">
        <v>0.4</v>
      </c>
      <c r="F3" s="2">
        <v>0.7</v>
      </c>
      <c r="G3" s="1">
        <f t="shared" ref="G3:G27" si="0">C3/8*4</f>
        <v>2.4</v>
      </c>
      <c r="H3" s="1">
        <v>5.5</v>
      </c>
      <c r="I3" s="1">
        <f>G3+H3</f>
        <v>7.9</v>
      </c>
      <c r="J3" s="10" t="s">
        <v>46</v>
      </c>
      <c r="K3" s="34" t="s">
        <v>68</v>
      </c>
    </row>
    <row r="4" spans="1:13" ht="15.75" x14ac:dyDescent="0.25">
      <c r="A4" s="17" t="s">
        <v>12</v>
      </c>
      <c r="B4" s="25"/>
      <c r="C4" s="7">
        <v>0</v>
      </c>
      <c r="D4" s="1">
        <v>0</v>
      </c>
      <c r="E4" s="2">
        <v>0.7</v>
      </c>
      <c r="F4" s="2" t="s">
        <v>0</v>
      </c>
      <c r="G4" s="1">
        <f t="shared" si="0"/>
        <v>0</v>
      </c>
      <c r="H4" s="1">
        <v>0</v>
      </c>
      <c r="I4" s="7">
        <f t="shared" ref="I4:I27" si="1">G4+H4</f>
        <v>0</v>
      </c>
      <c r="J4" s="16" t="s">
        <v>52</v>
      </c>
    </row>
    <row r="5" spans="1:13" ht="45" x14ac:dyDescent="0.25">
      <c r="A5" s="36" t="s">
        <v>13</v>
      </c>
      <c r="B5" s="27">
        <v>10</v>
      </c>
      <c r="C5" s="1">
        <v>7.2</v>
      </c>
      <c r="D5" s="1">
        <v>0</v>
      </c>
      <c r="E5" s="2">
        <v>0.5</v>
      </c>
      <c r="F5" s="2">
        <v>0.9</v>
      </c>
      <c r="G5" s="1">
        <f t="shared" si="0"/>
        <v>3.6</v>
      </c>
      <c r="H5" s="1">
        <v>6</v>
      </c>
      <c r="I5" s="1">
        <f t="shared" si="1"/>
        <v>9.6</v>
      </c>
      <c r="J5" s="10" t="s">
        <v>38</v>
      </c>
      <c r="K5" s="19" t="s">
        <v>72</v>
      </c>
    </row>
    <row r="6" spans="1:13" ht="15.75" x14ac:dyDescent="0.25">
      <c r="A6" s="17" t="s">
        <v>14</v>
      </c>
      <c r="B6" s="26"/>
      <c r="C6" s="14">
        <v>0</v>
      </c>
      <c r="D6" s="12">
        <v>0</v>
      </c>
      <c r="E6" s="13" t="s">
        <v>0</v>
      </c>
      <c r="F6" s="13" t="s">
        <v>0</v>
      </c>
      <c r="G6" s="1">
        <f t="shared" si="0"/>
        <v>0</v>
      </c>
      <c r="H6" s="12">
        <v>0</v>
      </c>
      <c r="I6" s="14">
        <f t="shared" si="1"/>
        <v>0</v>
      </c>
      <c r="J6" s="16" t="s">
        <v>52</v>
      </c>
    </row>
    <row r="7" spans="1:13" ht="30" x14ac:dyDescent="0.25">
      <c r="A7" s="8" t="s">
        <v>15</v>
      </c>
      <c r="B7" s="27">
        <v>11</v>
      </c>
      <c r="C7" s="1">
        <v>8</v>
      </c>
      <c r="D7" s="1">
        <v>0</v>
      </c>
      <c r="E7" s="2">
        <v>1</v>
      </c>
      <c r="F7" s="2">
        <v>0.6</v>
      </c>
      <c r="G7" s="1">
        <f t="shared" si="0"/>
        <v>4</v>
      </c>
      <c r="H7" s="1">
        <v>4.2</v>
      </c>
      <c r="I7" s="1">
        <f t="shared" si="1"/>
        <v>8.1999999999999993</v>
      </c>
      <c r="J7" s="10" t="s">
        <v>39</v>
      </c>
      <c r="K7" s="34" t="s">
        <v>73</v>
      </c>
    </row>
    <row r="8" spans="1:13" ht="60" x14ac:dyDescent="0.25">
      <c r="A8" s="3" t="s">
        <v>16</v>
      </c>
      <c r="B8" s="2">
        <v>1</v>
      </c>
      <c r="C8" s="1">
        <v>5.6</v>
      </c>
      <c r="D8" s="1">
        <v>0</v>
      </c>
      <c r="E8" s="2">
        <v>0.6</v>
      </c>
      <c r="F8" s="2">
        <v>0.8</v>
      </c>
      <c r="G8" s="1">
        <f t="shared" si="0"/>
        <v>2.8</v>
      </c>
      <c r="H8" s="1">
        <v>5.6</v>
      </c>
      <c r="I8" s="1">
        <f t="shared" si="1"/>
        <v>8.3999999999999986</v>
      </c>
      <c r="J8" s="10" t="s">
        <v>40</v>
      </c>
      <c r="K8" s="18" t="s">
        <v>56</v>
      </c>
    </row>
    <row r="9" spans="1:13" ht="60" x14ac:dyDescent="0.25">
      <c r="A9" s="8" t="s">
        <v>17</v>
      </c>
      <c r="B9" s="27">
        <v>12</v>
      </c>
      <c r="C9" s="1">
        <v>5.6</v>
      </c>
      <c r="D9" s="1">
        <v>0</v>
      </c>
      <c r="E9" s="2">
        <v>0.6</v>
      </c>
      <c r="F9" s="2">
        <v>0.5</v>
      </c>
      <c r="G9" s="1">
        <f t="shared" si="0"/>
        <v>2.8</v>
      </c>
      <c r="H9" s="1">
        <v>4.5</v>
      </c>
      <c r="I9" s="1">
        <f t="shared" si="1"/>
        <v>7.3</v>
      </c>
      <c r="J9" s="10" t="s">
        <v>62</v>
      </c>
      <c r="K9" s="33" t="s">
        <v>63</v>
      </c>
      <c r="L9" s="18" t="s">
        <v>64</v>
      </c>
      <c r="M9" s="20" t="s">
        <v>65</v>
      </c>
    </row>
    <row r="10" spans="1:13" ht="60" x14ac:dyDescent="0.25">
      <c r="A10" s="3" t="s">
        <v>18</v>
      </c>
      <c r="B10" s="2">
        <v>3</v>
      </c>
      <c r="C10" s="1">
        <v>5.6</v>
      </c>
      <c r="D10" s="1">
        <v>0</v>
      </c>
      <c r="E10" s="2">
        <v>0.7</v>
      </c>
      <c r="F10" s="2">
        <v>0.6</v>
      </c>
      <c r="G10" s="1">
        <f t="shared" si="0"/>
        <v>2.8</v>
      </c>
      <c r="H10" s="1">
        <v>4.9000000000000004</v>
      </c>
      <c r="I10" s="1">
        <f t="shared" si="1"/>
        <v>7.7</v>
      </c>
      <c r="J10" s="10" t="s">
        <v>41</v>
      </c>
      <c r="K10" s="18" t="s">
        <v>57</v>
      </c>
    </row>
    <row r="11" spans="1:13" ht="90" x14ac:dyDescent="0.25">
      <c r="A11" s="3" t="s">
        <v>19</v>
      </c>
      <c r="B11" s="2">
        <v>6</v>
      </c>
      <c r="C11" s="1">
        <v>5.6</v>
      </c>
      <c r="D11" s="1">
        <v>0</v>
      </c>
      <c r="E11" s="2">
        <v>0.9</v>
      </c>
      <c r="F11" s="2">
        <v>0.5</v>
      </c>
      <c r="G11" s="1">
        <f t="shared" si="0"/>
        <v>2.8</v>
      </c>
      <c r="H11" s="1">
        <v>4.2</v>
      </c>
      <c r="I11" s="1">
        <f t="shared" si="1"/>
        <v>7</v>
      </c>
      <c r="J11" s="10" t="s">
        <v>53</v>
      </c>
      <c r="K11" s="34" t="s">
        <v>70</v>
      </c>
    </row>
    <row r="12" spans="1:13" ht="75" x14ac:dyDescent="0.25">
      <c r="A12" s="3" t="s">
        <v>20</v>
      </c>
      <c r="B12" s="2">
        <v>1</v>
      </c>
      <c r="C12" s="1">
        <v>6.4</v>
      </c>
      <c r="D12" s="1">
        <v>0</v>
      </c>
      <c r="E12" s="2">
        <v>0.6</v>
      </c>
      <c r="F12" s="2">
        <v>0.4</v>
      </c>
      <c r="G12" s="1">
        <f t="shared" si="0"/>
        <v>3.2</v>
      </c>
      <c r="H12" s="1">
        <v>5.6</v>
      </c>
      <c r="I12" s="1">
        <f t="shared" si="1"/>
        <v>8.8000000000000007</v>
      </c>
      <c r="J12" s="10" t="s">
        <v>42</v>
      </c>
      <c r="K12" s="18" t="s">
        <v>56</v>
      </c>
    </row>
    <row r="13" spans="1:13" ht="60" x14ac:dyDescent="0.25">
      <c r="A13" s="3" t="s">
        <v>21</v>
      </c>
      <c r="B13" s="2">
        <v>2</v>
      </c>
      <c r="C13" s="1">
        <v>5.6</v>
      </c>
      <c r="D13" s="1">
        <v>0</v>
      </c>
      <c r="E13" s="2">
        <v>0.7</v>
      </c>
      <c r="F13" s="2">
        <v>0.6</v>
      </c>
      <c r="G13" s="1">
        <f t="shared" si="0"/>
        <v>2.8</v>
      </c>
      <c r="H13" s="1">
        <v>5</v>
      </c>
      <c r="I13" s="1">
        <f t="shared" si="1"/>
        <v>7.8</v>
      </c>
      <c r="J13" s="10" t="s">
        <v>58</v>
      </c>
      <c r="K13" s="18" t="s">
        <v>59</v>
      </c>
    </row>
    <row r="14" spans="1:13" ht="30" x14ac:dyDescent="0.25">
      <c r="A14" s="3" t="s">
        <v>22</v>
      </c>
      <c r="B14" s="2">
        <v>4</v>
      </c>
      <c r="C14" s="1">
        <v>5.6</v>
      </c>
      <c r="D14" s="1">
        <v>0</v>
      </c>
      <c r="E14" s="2">
        <v>0.4</v>
      </c>
      <c r="F14" s="2">
        <v>0.5</v>
      </c>
      <c r="G14" s="1">
        <f t="shared" si="0"/>
        <v>2.8</v>
      </c>
      <c r="H14" s="1">
        <v>4.8</v>
      </c>
      <c r="I14" s="1">
        <f t="shared" si="1"/>
        <v>7.6</v>
      </c>
      <c r="J14" s="10" t="s">
        <v>44</v>
      </c>
      <c r="K14" s="18" t="s">
        <v>54</v>
      </c>
    </row>
    <row r="15" spans="1:13" ht="30" x14ac:dyDescent="0.25">
      <c r="A15" s="8" t="s">
        <v>23</v>
      </c>
      <c r="B15" s="27">
        <v>9</v>
      </c>
      <c r="C15" s="1">
        <v>5.6</v>
      </c>
      <c r="D15" s="1">
        <v>0</v>
      </c>
      <c r="E15" s="2">
        <v>0.9</v>
      </c>
      <c r="F15" s="2">
        <v>0.9</v>
      </c>
      <c r="G15" s="1">
        <f t="shared" si="0"/>
        <v>2.8</v>
      </c>
      <c r="H15" s="1">
        <v>5.2</v>
      </c>
      <c r="I15" s="1">
        <f t="shared" si="1"/>
        <v>8</v>
      </c>
      <c r="J15" s="10" t="s">
        <v>49</v>
      </c>
      <c r="K15" t="s">
        <v>60</v>
      </c>
    </row>
    <row r="16" spans="1:13" ht="30" x14ac:dyDescent="0.25">
      <c r="A16" s="36" t="s">
        <v>24</v>
      </c>
      <c r="B16" s="27">
        <v>13</v>
      </c>
      <c r="C16" s="1">
        <v>4.8</v>
      </c>
      <c r="D16" s="1">
        <v>0</v>
      </c>
      <c r="E16" s="2">
        <v>0.8</v>
      </c>
      <c r="F16" s="2">
        <v>0.6</v>
      </c>
      <c r="G16" s="1">
        <f t="shared" si="0"/>
        <v>2.4</v>
      </c>
      <c r="H16" s="1">
        <v>6</v>
      </c>
      <c r="I16" s="1">
        <f t="shared" si="1"/>
        <v>8.4</v>
      </c>
      <c r="J16" s="10" t="s">
        <v>45</v>
      </c>
      <c r="K16" s="34" t="s">
        <v>74</v>
      </c>
    </row>
    <row r="17" spans="1:12" ht="60" x14ac:dyDescent="0.25">
      <c r="A17" s="3" t="s">
        <v>25</v>
      </c>
      <c r="B17" s="2">
        <v>3</v>
      </c>
      <c r="C17" s="1">
        <v>4.8</v>
      </c>
      <c r="D17" s="1">
        <v>0</v>
      </c>
      <c r="E17" s="2">
        <v>0.5</v>
      </c>
      <c r="F17" s="2">
        <v>0.3</v>
      </c>
      <c r="G17" s="1">
        <f t="shared" si="0"/>
        <v>2.4</v>
      </c>
      <c r="H17" s="1">
        <v>4.9000000000000004</v>
      </c>
      <c r="I17" s="1">
        <f t="shared" si="1"/>
        <v>7.3000000000000007</v>
      </c>
      <c r="J17" s="10" t="s">
        <v>41</v>
      </c>
      <c r="K17" s="18" t="s">
        <v>57</v>
      </c>
    </row>
    <row r="18" spans="1:12" ht="60" x14ac:dyDescent="0.25">
      <c r="A18" s="3" t="s">
        <v>26</v>
      </c>
      <c r="B18" s="2">
        <v>2</v>
      </c>
      <c r="C18" s="1">
        <v>6.4</v>
      </c>
      <c r="D18" s="1">
        <v>0</v>
      </c>
      <c r="E18" s="2">
        <v>0.6</v>
      </c>
      <c r="F18" s="2">
        <v>0.4</v>
      </c>
      <c r="G18" s="1">
        <f t="shared" si="0"/>
        <v>3.2</v>
      </c>
      <c r="H18" s="1">
        <v>5</v>
      </c>
      <c r="I18" s="1">
        <f t="shared" si="1"/>
        <v>8.1999999999999993</v>
      </c>
      <c r="J18" s="10" t="s">
        <v>43</v>
      </c>
      <c r="K18" s="18" t="s">
        <v>59</v>
      </c>
    </row>
    <row r="19" spans="1:12" ht="60" x14ac:dyDescent="0.25">
      <c r="A19" s="3" t="s">
        <v>27</v>
      </c>
      <c r="B19" s="2">
        <v>3</v>
      </c>
      <c r="C19" s="1">
        <v>3.2</v>
      </c>
      <c r="D19" s="1">
        <v>0</v>
      </c>
      <c r="E19" s="2">
        <v>0.4</v>
      </c>
      <c r="F19" s="2">
        <v>0.2</v>
      </c>
      <c r="G19" s="1">
        <f t="shared" si="0"/>
        <v>1.6</v>
      </c>
      <c r="H19" s="1">
        <v>4.9000000000000004</v>
      </c>
      <c r="I19" s="1">
        <f t="shared" si="1"/>
        <v>6.5</v>
      </c>
      <c r="J19" s="10" t="s">
        <v>41</v>
      </c>
      <c r="K19" s="18" t="s">
        <v>57</v>
      </c>
    </row>
    <row r="20" spans="1:12" ht="47.25" x14ac:dyDescent="0.25">
      <c r="A20" s="3" t="s">
        <v>28</v>
      </c>
      <c r="B20" s="2">
        <v>5</v>
      </c>
      <c r="C20" s="1">
        <v>5.6</v>
      </c>
      <c r="D20" s="1">
        <v>0</v>
      </c>
      <c r="E20" s="2">
        <v>0.6</v>
      </c>
      <c r="F20" s="2">
        <v>0.5</v>
      </c>
      <c r="G20" s="1">
        <f t="shared" si="0"/>
        <v>2.8</v>
      </c>
      <c r="H20" s="1">
        <v>5.5</v>
      </c>
      <c r="I20" s="1">
        <f t="shared" si="1"/>
        <v>8.3000000000000007</v>
      </c>
      <c r="J20" s="4" t="s">
        <v>46</v>
      </c>
      <c r="K20" s="34" t="s">
        <v>68</v>
      </c>
    </row>
    <row r="21" spans="1:12" ht="15.75" x14ac:dyDescent="0.25">
      <c r="A21" s="15" t="s">
        <v>29</v>
      </c>
      <c r="B21" s="25"/>
      <c r="C21" s="7">
        <v>0</v>
      </c>
      <c r="D21" s="1">
        <v>0</v>
      </c>
      <c r="E21" s="2" t="s">
        <v>0</v>
      </c>
      <c r="F21" s="2" t="s">
        <v>0</v>
      </c>
      <c r="G21" s="1">
        <f t="shared" si="0"/>
        <v>0</v>
      </c>
      <c r="H21" s="1">
        <v>0</v>
      </c>
      <c r="I21" s="7">
        <f t="shared" si="1"/>
        <v>0</v>
      </c>
      <c r="J21" s="16" t="s">
        <v>52</v>
      </c>
    </row>
    <row r="22" spans="1:12" ht="30" x14ac:dyDescent="0.25">
      <c r="A22" s="3" t="s">
        <v>30</v>
      </c>
      <c r="B22" s="2">
        <v>4</v>
      </c>
      <c r="C22" s="37">
        <v>5.6</v>
      </c>
      <c r="D22" s="1">
        <v>0</v>
      </c>
      <c r="E22" s="2">
        <v>0.9</v>
      </c>
      <c r="F22" s="2">
        <v>0.3</v>
      </c>
      <c r="G22" s="1">
        <f t="shared" si="0"/>
        <v>2.8</v>
      </c>
      <c r="H22" s="1">
        <v>4.8</v>
      </c>
      <c r="I22" s="1">
        <f t="shared" si="1"/>
        <v>7.6</v>
      </c>
      <c r="J22" s="10" t="s">
        <v>44</v>
      </c>
      <c r="K22" s="18" t="s">
        <v>54</v>
      </c>
    </row>
    <row r="23" spans="1:12" ht="60" x14ac:dyDescent="0.25">
      <c r="A23" s="8" t="s">
        <v>31</v>
      </c>
      <c r="B23" s="27">
        <v>14</v>
      </c>
      <c r="C23" s="1">
        <v>4</v>
      </c>
      <c r="D23" s="1">
        <v>0</v>
      </c>
      <c r="E23" s="2" t="s">
        <v>0</v>
      </c>
      <c r="F23" s="2">
        <v>0.4</v>
      </c>
      <c r="G23" s="1">
        <f t="shared" si="0"/>
        <v>2</v>
      </c>
      <c r="H23" s="12">
        <v>3.6</v>
      </c>
      <c r="I23" s="1">
        <f t="shared" si="1"/>
        <v>5.6</v>
      </c>
      <c r="J23" s="10" t="s">
        <v>47</v>
      </c>
      <c r="K23" s="34" t="s">
        <v>66</v>
      </c>
    </row>
    <row r="24" spans="1:12" ht="45" x14ac:dyDescent="0.25">
      <c r="A24" s="8" t="s">
        <v>32</v>
      </c>
      <c r="B24" s="27">
        <v>10</v>
      </c>
      <c r="C24" s="1">
        <v>7.2</v>
      </c>
      <c r="D24" s="1">
        <v>0</v>
      </c>
      <c r="E24" s="2">
        <v>0.6</v>
      </c>
      <c r="F24" s="2">
        <v>0.4</v>
      </c>
      <c r="G24" s="1">
        <f t="shared" si="0"/>
        <v>3.6</v>
      </c>
      <c r="H24" s="1">
        <v>6</v>
      </c>
      <c r="I24" s="1">
        <f t="shared" si="1"/>
        <v>9.6</v>
      </c>
      <c r="J24" s="10" t="s">
        <v>48</v>
      </c>
      <c r="K24" s="19" t="s">
        <v>55</v>
      </c>
    </row>
    <row r="25" spans="1:12" ht="30" x14ac:dyDescent="0.25">
      <c r="A25" s="8" t="s">
        <v>33</v>
      </c>
      <c r="B25" s="27">
        <v>9</v>
      </c>
      <c r="C25" s="1">
        <v>4.8</v>
      </c>
      <c r="D25" s="1">
        <v>0</v>
      </c>
      <c r="E25" s="2" t="s">
        <v>0</v>
      </c>
      <c r="F25" s="2" t="s">
        <v>0</v>
      </c>
      <c r="G25" s="1">
        <f t="shared" si="0"/>
        <v>2.4</v>
      </c>
      <c r="H25" s="1">
        <v>5.2</v>
      </c>
      <c r="I25" s="1">
        <f t="shared" si="1"/>
        <v>7.6</v>
      </c>
      <c r="J25" s="10" t="s">
        <v>49</v>
      </c>
      <c r="K25" t="s">
        <v>60</v>
      </c>
    </row>
    <row r="26" spans="1:12" ht="60" x14ac:dyDescent="0.25">
      <c r="A26" s="8" t="s">
        <v>34</v>
      </c>
      <c r="B26" s="27">
        <v>15</v>
      </c>
      <c r="C26" s="1">
        <v>7.2</v>
      </c>
      <c r="D26" s="1">
        <v>0</v>
      </c>
      <c r="E26" s="2">
        <v>0.8</v>
      </c>
      <c r="F26" s="2">
        <v>0.8</v>
      </c>
      <c r="G26" s="1">
        <f t="shared" si="0"/>
        <v>3.6</v>
      </c>
      <c r="H26" s="1">
        <v>5.4</v>
      </c>
      <c r="I26" s="1">
        <f t="shared" si="1"/>
        <v>9</v>
      </c>
      <c r="J26" s="10" t="s">
        <v>50</v>
      </c>
      <c r="K26" s="19" t="s">
        <v>71</v>
      </c>
      <c r="L26" s="18" t="s">
        <v>51</v>
      </c>
    </row>
    <row r="27" spans="1:12" ht="45.75" thickBot="1" x14ac:dyDescent="0.3">
      <c r="A27" s="9" t="s">
        <v>35</v>
      </c>
      <c r="B27" s="32">
        <v>9</v>
      </c>
      <c r="C27" s="5">
        <v>5.6</v>
      </c>
      <c r="D27" s="5">
        <v>0</v>
      </c>
      <c r="E27" s="6">
        <v>0.8</v>
      </c>
      <c r="F27" s="6">
        <v>0.9</v>
      </c>
      <c r="G27" s="5">
        <f t="shared" si="0"/>
        <v>2.8</v>
      </c>
      <c r="H27" s="5">
        <v>5.2</v>
      </c>
      <c r="I27" s="5">
        <f t="shared" si="1"/>
        <v>8</v>
      </c>
      <c r="J27" s="11" t="s">
        <v>49</v>
      </c>
      <c r="K27" s="19" t="s">
        <v>61</v>
      </c>
    </row>
    <row r="29" spans="1:12" x14ac:dyDescent="0.25">
      <c r="A29" t="s">
        <v>36</v>
      </c>
    </row>
  </sheetData>
  <autoFilter ref="A1:J27" xr:uid="{D0212B8F-44EC-4B38-84EB-21D2846DA7CB}"/>
  <hyperlinks>
    <hyperlink ref="J5" r:id="rId1" xr:uid="{64307761-D7D9-4A06-8E9B-6432284E854E}"/>
    <hyperlink ref="J7" r:id="rId2" xr:uid="{9FF9BA28-8CB3-4B80-8505-0DD5A4B4E98B}"/>
    <hyperlink ref="J8" r:id="rId3" xr:uid="{5B4F64D5-2DB4-482B-95DD-80B3761005D1}"/>
    <hyperlink ref="J10" r:id="rId4" xr:uid="{BE74226B-EF15-4116-B4F1-19B8C5FA7A05}"/>
    <hyperlink ref="J12" r:id="rId5" xr:uid="{DE7AC3EA-4613-4AC4-B20A-90FA62B313AE}"/>
    <hyperlink ref="J14" r:id="rId6" xr:uid="{D7F6D36F-6A10-4B7A-AA02-E6C9E6B5C051}"/>
    <hyperlink ref="J16" r:id="rId7" xr:uid="{0737A2F4-2758-4383-9AC6-554918D8AAD2}"/>
    <hyperlink ref="J17" r:id="rId8" xr:uid="{7CE1E1A0-7FCD-425F-9410-F078CFFA05F5}"/>
    <hyperlink ref="J18" r:id="rId9" xr:uid="{BA41D141-0138-4C5C-A3D9-4BF95A26BC3D}"/>
    <hyperlink ref="J19" r:id="rId10" xr:uid="{53AAE598-84E9-4C79-9E24-CA2C883B6E66}"/>
    <hyperlink ref="J23" r:id="rId11" xr:uid="{79A6158E-E06C-4AC2-A309-D77F5EED1094}"/>
    <hyperlink ref="J24" r:id="rId12" xr:uid="{FD5ED851-BE40-4735-855D-CF806D52DAAA}"/>
    <hyperlink ref="J27" r:id="rId13" xr:uid="{0463F0AB-72AD-4F0A-B0CA-15B47959AB87}"/>
    <hyperlink ref="J25" r:id="rId14" xr:uid="{EFE5979B-08C9-4CE0-8148-D0A1E6738E3A}"/>
    <hyperlink ref="J15" r:id="rId15" xr:uid="{8EC7AABD-09D1-478A-B9AC-83E277E6B4AA}"/>
    <hyperlink ref="J22" r:id="rId16" xr:uid="{3056A8A1-666B-456E-B9F5-99383D083EC4}"/>
    <hyperlink ref="J2" r:id="rId17" xr:uid="{DCAB900F-B8B1-4E77-A5F0-93EC30C1F226}"/>
    <hyperlink ref="J26" r:id="rId18" xr:uid="{C1FB3950-AE45-460B-8E7D-5534614908AA}"/>
    <hyperlink ref="J3" r:id="rId19" xr:uid="{B8D6459A-3387-4805-8DCE-1592045B4C97}"/>
    <hyperlink ref="J11" r:id="rId20" xr:uid="{94ED237D-37F7-42C0-8385-E22EADA3F66C}"/>
    <hyperlink ref="K7" r:id="rId21" display="http://ifrango.frangro.com.br/" xr:uid="{5F332C4A-B46E-4910-8AA6-BFD8CEA1B16C}"/>
    <hyperlink ref="K3" r:id="rId22" display="https://cinebrbrasil.netlify.app/" xr:uid="{09742F4C-F95E-4F71-A14B-E2875225AC61}"/>
    <hyperlink ref="K2" r:id="rId23" display="https://www.figma.com/proto/5Wzn4ncIYDvRg6mKjijgZ6/PROJETO-VESTURE?node-id=0-1\&amp;t=bWJcyoJqtGPEDb8e-1" xr:uid="{A0A207D4-17A3-4484-9269-0EDD6344E8EC}"/>
    <hyperlink ref="K8" r:id="rId24" xr:uid="{289C5389-509E-4694-8AE2-348FB2EDCAE7}"/>
    <hyperlink ref="K10" r:id="rId25" xr:uid="{7E24DEEF-C12D-4E8E-A6C5-DA211C2A9CA9}"/>
    <hyperlink ref="K11" r:id="rId26" display="https://www.figma.com/proto/JDxhoZM1Vh1U6tYggSeTdA/Login---Register-Form--Auto-Layout---Community-?node-id=402-30&amp;t=rI7w6wuA0iFay8Fk-0&amp;scaling=scale-down&amp;content-scaling=fixed&amp;page-id=0%3A1&amp;starting-point-node-id=402%3A30" xr:uid="{1C125632-CC0E-4E35-B55B-D99A07CEA41B}"/>
    <hyperlink ref="K12" r:id="rId27" xr:uid="{5B30BF53-2815-4B41-A356-D63BFFAF960D}"/>
    <hyperlink ref="K14" r:id="rId28" xr:uid="{9812451E-4513-4CE8-A857-9127BB3D8535}"/>
    <hyperlink ref="J13" r:id="rId29" xr:uid="{FE56342C-FA3C-4EB5-9C6F-5A2C7D7E1524}"/>
    <hyperlink ref="K13" r:id="rId30" xr:uid="{360E4CFC-742E-4E77-BBFB-C243BE5D388C}"/>
    <hyperlink ref="K18" r:id="rId31" xr:uid="{2600B9D9-06D4-4B9A-B714-9A0374FE032A}"/>
    <hyperlink ref="K16" r:id="rId32" display="https://ileonrd.itch.io/dome ; itch.io ; Unity" xr:uid="{D220D331-B102-4279-B0DA-A76A3FD5B3E4}"/>
    <hyperlink ref="K17" r:id="rId33" xr:uid="{2E7807BC-6379-4A72-940B-6678F7DDCCBA}"/>
    <hyperlink ref="K19" r:id="rId34" xr:uid="{596937AD-7754-4202-B25B-D04E7A6A05AA}"/>
    <hyperlink ref="K22" r:id="rId35" xr:uid="{AB053301-2CA6-4183-A43A-5A734C29E459}"/>
    <hyperlink ref="K23" r:id="rId36" display="https://velvety-youtiao-3f728e.netlify.app/index.html" xr:uid="{98D2FF19-5418-4875-9D10-21D0F7F40C42}"/>
    <hyperlink ref="L26" r:id="rId37" xr:uid="{67C0DAE0-4F63-42AA-9A7A-6D07B5257C4B}"/>
    <hyperlink ref="J9" r:id="rId38" xr:uid="{D7B6DF01-DB9F-4230-9E5F-B2B661D47216}"/>
    <hyperlink ref="K9" r:id="rId39" xr:uid="{F38912A1-8791-4741-A4C5-FD2C7A4C8F02}"/>
    <hyperlink ref="K20" r:id="rId40" display="https://cinebrbrasil.netlify.app/" xr:uid="{875696BF-8C05-466C-92F7-4A37FEF2212E}"/>
  </hyperlinks>
  <pageMargins left="0.511811024" right="0.511811024" top="0.78740157499999996" bottom="0.78740157499999996" header="0.31496062000000002" footer="0.31496062000000002"/>
  <pageSetup paperSize="9" orientation="portrait" r:id="rId4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Heleno Cardoso</dc:creator>
  <cp:lastModifiedBy>Heleno Cardoso</cp:lastModifiedBy>
  <dcterms:created xsi:type="dcterms:W3CDTF">2025-11-26T20:27:31Z</dcterms:created>
  <dcterms:modified xsi:type="dcterms:W3CDTF">2026-06-12T14:46:07Z</dcterms:modified>
</cp:coreProperties>
</file>